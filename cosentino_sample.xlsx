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hraadandassociates-my.sharepoint.com/personal/craig_waters_schraadinc_com/Documents/Documents/Cosentino's HDQ's/EVENTS 1-6 2026/Contracts sent/"/>
    </mc:Choice>
  </mc:AlternateContent>
  <xr:revisionPtr revIDLastSave="5" documentId="8_{4126D378-8096-4F9C-B7D4-1B9E9A584918}" xr6:coauthVersionLast="47" xr6:coauthVersionMax="47" xr10:uidLastSave="{CD350F18-CC3B-497B-B6C9-D876BB937E60}"/>
  <bookViews>
    <workbookView xWindow="28680" yWindow="-120" windowWidth="29040" windowHeight="15720" tabRatio="736" xr2:uid="{00000000-000D-0000-FFFF-FFFF00000000}"/>
  </bookViews>
  <sheets>
    <sheet name="TPR Form" sheetId="1" r:id="rId1"/>
  </sheets>
  <definedNames>
    <definedName name="_xlnm.Print_Area" localSheetId="0">'TPR Form'!$A$1:$R$39</definedName>
    <definedName name="Z_237C2BD9_22AD_4097_B475_BDCAA9BDDC24_.wvu.PrintArea" localSheetId="0" hidden="1">'TPR Form'!$B$1:$R$35</definedName>
  </definedNames>
  <calcPr calcId="191029"/>
  <customWorkbookViews>
    <customWorkbookView name="Mark Winslow - Personal View" guid="{237C2BD9-22AD-4097-B475-BDCAA9BDDC24}" mergeInterval="0" personalView="1" maximized="1" xWindow="1" yWindow="1" windowWidth="1276" windowHeight="80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0" i="1" l="1"/>
  <c r="P11" i="1"/>
  <c r="P12" i="1"/>
  <c r="P13" i="1"/>
  <c r="P14" i="1"/>
  <c r="P15" i="1"/>
  <c r="P16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J6" i="1"/>
  <c r="K6" i="1" s="1"/>
  <c r="H24" i="1" l="1"/>
  <c r="H25" i="1"/>
  <c r="H26" i="1"/>
  <c r="H27" i="1"/>
  <c r="H28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10" i="1"/>
  <c r="N11" i="1"/>
  <c r="N12" i="1"/>
  <c r="N13" i="1"/>
  <c r="N10" i="1"/>
  <c r="N28" i="1" l="1"/>
  <c r="P28" i="1" s="1"/>
  <c r="N27" i="1"/>
  <c r="P27" i="1" s="1"/>
  <c r="N26" i="1"/>
  <c r="P26" i="1" s="1"/>
  <c r="N25" i="1"/>
  <c r="P25" i="1" s="1"/>
  <c r="N24" i="1"/>
  <c r="P24" i="1" s="1"/>
  <c r="N23" i="1"/>
  <c r="P23" i="1" s="1"/>
  <c r="N22" i="1"/>
  <c r="P22" i="1" s="1"/>
  <c r="N21" i="1"/>
  <c r="P21" i="1" s="1"/>
  <c r="N20" i="1"/>
  <c r="P20" i="1" s="1"/>
  <c r="N19" i="1"/>
  <c r="P19" i="1" s="1"/>
  <c r="N18" i="1"/>
  <c r="P18" i="1" s="1"/>
  <c r="N17" i="1"/>
  <c r="P17" i="1" s="1"/>
  <c r="N16" i="1"/>
  <c r="N15" i="1"/>
  <c r="N14" i="1"/>
</calcChain>
</file>

<file path=xl/sharedStrings.xml><?xml version="1.0" encoding="utf-8"?>
<sst xmlns="http://schemas.openxmlformats.org/spreadsheetml/2006/main" count="69" uniqueCount="62">
  <si>
    <t>Item Code</t>
  </si>
  <si>
    <t>Description</t>
  </si>
  <si>
    <t>PK</t>
  </si>
  <si>
    <t>Net Unit</t>
  </si>
  <si>
    <t>Size</t>
  </si>
  <si>
    <t>TPR %</t>
  </si>
  <si>
    <t>TPR All Stores</t>
  </si>
  <si>
    <t>Cosentino Regular Retail</t>
  </si>
  <si>
    <t>Unit Scan</t>
  </si>
  <si>
    <t>Cosentino's TPR Request Form</t>
  </si>
  <si>
    <t>Pallet Component or Open Stock item information</t>
  </si>
  <si>
    <t>Pallet/    Shipper Cost</t>
  </si>
  <si>
    <t>TPR Retail</t>
  </si>
  <si>
    <t>Pallet/    Shipper Bill Back</t>
  </si>
  <si>
    <t>Pallet/    Shipper AMAP</t>
  </si>
  <si>
    <t>Pallet/Mod/Shipper Information if applicable</t>
  </si>
  <si>
    <t>Broker/Sales Rep</t>
  </si>
  <si>
    <t>Manufacturer</t>
  </si>
  <si>
    <t>OTHER FEE-</t>
  </si>
  <si>
    <t>NOTE: Errors and/or omissions are subject to a $50 per item penalty</t>
  </si>
  <si>
    <t>TPR Stores with Prebooks only</t>
  </si>
  <si>
    <t>AWG Item Code</t>
  </si>
  <si>
    <t>ERRORs FEE-</t>
  </si>
  <si>
    <t>Prebooks sent to AWG</t>
  </si>
  <si>
    <t>Deal Start Date</t>
  </si>
  <si>
    <t>Deal End Date</t>
  </si>
  <si>
    <t>Do not Copy, then Paste FORMULAS. Paste VALUES only</t>
  </si>
  <si>
    <t>Allow Per Unit</t>
  </si>
  <si>
    <t xml:space="preserve"> Case Cost</t>
  </si>
  <si>
    <t>Unit Cost</t>
  </si>
  <si>
    <t>Amap Case</t>
  </si>
  <si>
    <t>Billback Case</t>
  </si>
  <si>
    <t>TPR Sunfresh/Apple</t>
  </si>
  <si>
    <t>TPR Price Chopper</t>
  </si>
  <si>
    <t>Tpr Markets</t>
  </si>
  <si>
    <t>Monday  Start Date</t>
  </si>
  <si>
    <t>Sunday End Date</t>
  </si>
  <si>
    <t>Net Unit Cost</t>
  </si>
  <si>
    <t xml:space="preserve"> TPR FEE-</t>
  </si>
  <si>
    <t>COMMENTS</t>
  </si>
  <si>
    <t>Total Scan</t>
  </si>
  <si>
    <t>NOTE: THE DATES ON THIS FORM SHOULD NOT EXCEED 8 WEEKS FORM START DATE TO END DATE</t>
  </si>
  <si>
    <t>Updated March 2022</t>
  </si>
  <si>
    <t>VENDOR/BROKER USE</t>
  </si>
  <si>
    <t>Please make sure item codes, upcs,desc,pack,size are corrrect before submitting</t>
  </si>
  <si>
    <t>Mark Box For Store (s) That Get Tpr</t>
  </si>
  <si>
    <r>
      <rPr>
        <b/>
        <sz val="14"/>
        <rFont val="Arial"/>
        <family val="2"/>
      </rPr>
      <t xml:space="preserve">UNIT UPC                           </t>
    </r>
    <r>
      <rPr>
        <b/>
        <sz val="11"/>
        <rFont val="Arial"/>
        <family val="2"/>
      </rPr>
      <t xml:space="preserve">0-00000-00000             </t>
    </r>
    <r>
      <rPr>
        <b/>
        <sz val="16"/>
        <rFont val="Arial"/>
        <family val="2"/>
      </rPr>
      <t xml:space="preserve">     </t>
    </r>
  </si>
  <si>
    <t>Pallet/  Shipper Pack</t>
  </si>
  <si>
    <t>Pallet/Shipper Unit Scan</t>
  </si>
  <si>
    <t>ATKINS CHICKEN MARGHERITA</t>
  </si>
  <si>
    <t>9 OZ</t>
  </si>
  <si>
    <t>ATKINS CRUSTLESS CHKN POT PIE</t>
  </si>
  <si>
    <t>ATKINS CHKN&amp;BROC ALFREDO</t>
  </si>
  <si>
    <t>ATKINS BEEF MERLOT</t>
  </si>
  <si>
    <t>ATKINS FH-STYLE SSG SCRAMBLE</t>
  </si>
  <si>
    <t>7 OZ</t>
  </si>
  <si>
    <t>ATKINS CHEESY CHICKEN RISOTTO</t>
  </si>
  <si>
    <t>ATKINS PSTO CHKN ZUC NDL BWL</t>
  </si>
  <si>
    <t>x</t>
  </si>
  <si>
    <t>Atkins</t>
  </si>
  <si>
    <t>Schraad/ Craig Waters</t>
  </si>
  <si>
    <t>1ST Quarter EDLP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</si>
</sst>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m/d/yy;@"/>
    <numFmt numFmtId="166" formatCode="0\-00000\-000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sz val="14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24"/>
      <name val="Arial"/>
      <family val="2"/>
    </font>
    <font>
      <b/>
      <i/>
      <sz val="16"/>
      <name val="Arial"/>
      <family val="2"/>
    </font>
    <font>
      <sz val="16"/>
      <color theme="1"/>
      <name val="Arial"/>
      <family val="2"/>
    </font>
    <font>
      <b/>
      <i/>
      <sz val="14"/>
      <name val="Arial"/>
      <family val="2"/>
    </font>
    <font>
      <sz val="40"/>
      <name val="Arial"/>
      <family val="2"/>
    </font>
    <font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1" applyAlignment="1">
      <alignment horizontal="center"/>
    </xf>
    <xf numFmtId="164" fontId="2" fillId="0" borderId="0" xfId="1" applyNumberFormat="1" applyAlignment="1">
      <alignment horizontal="center"/>
    </xf>
    <xf numFmtId="9" fontId="1" fillId="0" borderId="0" xfId="2" applyFont="1" applyAlignment="1">
      <alignment horizontal="center"/>
    </xf>
    <xf numFmtId="0" fontId="3" fillId="0" borderId="0" xfId="1" applyFont="1" applyAlignment="1">
      <alignment horizontal="center" wrapText="1"/>
    </xf>
    <xf numFmtId="9" fontId="1" fillId="0" borderId="0" xfId="2" applyFont="1" applyFill="1" applyAlignment="1">
      <alignment horizontal="center"/>
    </xf>
    <xf numFmtId="0" fontId="18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164" fontId="3" fillId="0" borderId="0" xfId="1" applyNumberFormat="1" applyFont="1" applyAlignment="1">
      <alignment horizontal="center" wrapText="1"/>
    </xf>
    <xf numFmtId="9" fontId="3" fillId="0" borderId="0" xfId="2" applyFont="1" applyFill="1" applyAlignment="1">
      <alignment horizontal="center" wrapText="1"/>
    </xf>
    <xf numFmtId="14" fontId="2" fillId="0" borderId="0" xfId="1" applyNumberFormat="1" applyAlignment="1">
      <alignment horizontal="center"/>
    </xf>
    <xf numFmtId="164" fontId="9" fillId="0" borderId="3" xfId="1" applyNumberFormat="1" applyFont="1" applyBorder="1" applyAlignment="1" applyProtection="1">
      <alignment horizontal="center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/>
      <protection locked="0"/>
    </xf>
    <xf numFmtId="164" fontId="9" fillId="0" borderId="0" xfId="1" applyNumberFormat="1" applyFont="1" applyAlignment="1" applyProtection="1">
      <alignment horizontal="center"/>
      <protection locked="0"/>
    </xf>
    <xf numFmtId="164" fontId="4" fillId="0" borderId="0" xfId="1" applyNumberFormat="1" applyFont="1" applyAlignment="1" applyProtection="1">
      <alignment horizontal="left"/>
      <protection locked="0"/>
    </xf>
    <xf numFmtId="0" fontId="8" fillId="0" borderId="0" xfId="1" applyFont="1" applyAlignment="1">
      <alignment horizontal="left"/>
    </xf>
    <xf numFmtId="0" fontId="14" fillId="0" borderId="0" xfId="1" applyFont="1" applyAlignment="1">
      <alignment horizontal="left"/>
    </xf>
    <xf numFmtId="165" fontId="9" fillId="0" borderId="3" xfId="1" applyNumberFormat="1" applyFont="1" applyBorder="1" applyAlignment="1" applyProtection="1">
      <alignment horizontal="center"/>
      <protection locked="0"/>
    </xf>
    <xf numFmtId="14" fontId="9" fillId="0" borderId="3" xfId="1" applyNumberFormat="1" applyFont="1" applyBorder="1" applyAlignment="1" applyProtection="1">
      <alignment horizontal="center"/>
      <protection locked="0"/>
    </xf>
    <xf numFmtId="164" fontId="9" fillId="0" borderId="3" xfId="1" applyNumberFormat="1" applyFont="1" applyBorder="1" applyAlignment="1">
      <alignment horizontal="center"/>
    </xf>
    <xf numFmtId="9" fontId="16" fillId="0" borderId="3" xfId="2" applyFont="1" applyFill="1" applyBorder="1" applyAlignment="1" applyProtection="1">
      <alignment horizontal="center"/>
    </xf>
    <xf numFmtId="0" fontId="16" fillId="0" borderId="3" xfId="0" applyFont="1" applyBorder="1" applyProtection="1">
      <protection locked="0"/>
    </xf>
    <xf numFmtId="0" fontId="7" fillId="0" borderId="0" xfId="1" applyFont="1" applyAlignment="1" applyProtection="1">
      <alignment horizontal="center"/>
      <protection locked="0"/>
    </xf>
    <xf numFmtId="2" fontId="9" fillId="0" borderId="0" xfId="1" applyNumberFormat="1" applyFont="1" applyAlignment="1" applyProtection="1">
      <alignment horizontal="center"/>
      <protection locked="0"/>
    </xf>
    <xf numFmtId="164" fontId="9" fillId="0" borderId="0" xfId="1" applyNumberFormat="1" applyFont="1" applyAlignment="1">
      <alignment horizontal="left"/>
    </xf>
    <xf numFmtId="164" fontId="12" fillId="0" borderId="0" xfId="1" applyNumberFormat="1" applyFont="1" applyAlignment="1" applyProtection="1">
      <alignment horizontal="center"/>
      <protection locked="0"/>
    </xf>
    <xf numFmtId="164" fontId="6" fillId="0" borderId="0" xfId="1" applyNumberFormat="1" applyFont="1" applyAlignment="1" applyProtection="1">
      <alignment horizontal="center"/>
      <protection locked="0"/>
    </xf>
    <xf numFmtId="9" fontId="1" fillId="0" borderId="0" xfId="2" applyFont="1" applyFill="1" applyAlignment="1" applyProtection="1">
      <alignment horizontal="center"/>
      <protection locked="0"/>
    </xf>
    <xf numFmtId="165" fontId="6" fillId="0" borderId="0" xfId="1" quotePrefix="1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1" applyAlignment="1" applyProtection="1">
      <alignment horizont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right" vertic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17" fillId="0" borderId="0" xfId="1" applyFont="1" applyAlignment="1" applyProtection="1">
      <alignment vertical="center"/>
      <protection locked="0"/>
    </xf>
    <xf numFmtId="164" fontId="5" fillId="0" borderId="0" xfId="1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11" fillId="0" borderId="0" xfId="1" applyNumberFormat="1" applyFont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1" fontId="10" fillId="0" borderId="0" xfId="0" applyNumberFormat="1" applyFont="1" applyAlignment="1" applyProtection="1">
      <alignment horizontal="center"/>
      <protection locked="0"/>
    </xf>
    <xf numFmtId="1" fontId="2" fillId="0" borderId="0" xfId="1" applyNumberFormat="1" applyAlignment="1" applyProtection="1">
      <alignment horizontal="center"/>
      <protection locked="0"/>
    </xf>
    <xf numFmtId="164" fontId="2" fillId="0" borderId="0" xfId="1" applyNumberForma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164" fontId="15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14" fontId="7" fillId="0" borderId="0" xfId="1" applyNumberFormat="1" applyFont="1" applyAlignment="1" applyProtection="1">
      <alignment horizontal="center"/>
      <protection locked="0"/>
    </xf>
    <xf numFmtId="0" fontId="4" fillId="0" borderId="0" xfId="1" applyFont="1" applyAlignment="1">
      <alignment horizontal="center" wrapText="1"/>
    </xf>
    <xf numFmtId="0" fontId="13" fillId="0" borderId="0" xfId="1" applyFont="1" applyAlignment="1">
      <alignment horizontal="center" wrapText="1"/>
    </xf>
    <xf numFmtId="164" fontId="4" fillId="0" borderId="0" xfId="1" applyNumberFormat="1" applyFont="1" applyAlignment="1">
      <alignment horizontal="center" wrapText="1"/>
    </xf>
    <xf numFmtId="164" fontId="4" fillId="0" borderId="0" xfId="1" applyNumberFormat="1" applyFont="1" applyAlignment="1" applyProtection="1">
      <alignment horizontal="center" wrapText="1"/>
      <protection locked="0"/>
    </xf>
    <xf numFmtId="9" fontId="4" fillId="0" borderId="0" xfId="2" applyFont="1" applyFill="1" applyAlignment="1" applyProtection="1">
      <alignment horizontal="center" wrapText="1"/>
      <protection locked="0"/>
    </xf>
    <xf numFmtId="49" fontId="7" fillId="0" borderId="4" xfId="1" applyNumberFormat="1" applyFont="1" applyBorder="1" applyAlignment="1" applyProtection="1">
      <alignment horizontal="center"/>
      <protection locked="0"/>
    </xf>
    <xf numFmtId="49" fontId="7" fillId="0" borderId="5" xfId="1" applyNumberFormat="1" applyFont="1" applyBorder="1" applyAlignment="1" applyProtection="1">
      <alignment horizontal="center"/>
      <protection locked="0"/>
    </xf>
    <xf numFmtId="49" fontId="7" fillId="0" borderId="8" xfId="1" applyNumberFormat="1" applyFont="1" applyBorder="1" applyAlignment="1" applyProtection="1">
      <alignment horizontal="center"/>
      <protection locked="0"/>
    </xf>
    <xf numFmtId="49" fontId="19" fillId="0" borderId="5" xfId="0" applyNumberFormat="1" applyFont="1" applyBorder="1" applyProtection="1">
      <protection locked="0"/>
    </xf>
    <xf numFmtId="49" fontId="7" fillId="0" borderId="9" xfId="1" applyNumberFormat="1" applyFont="1" applyBorder="1" applyAlignment="1" applyProtection="1">
      <alignment horizontal="center"/>
      <protection locked="0"/>
    </xf>
    <xf numFmtId="49" fontId="19" fillId="0" borderId="10" xfId="0" applyNumberFormat="1" applyFont="1" applyBorder="1" applyProtection="1">
      <protection locked="0"/>
    </xf>
    <xf numFmtId="164" fontId="8" fillId="0" borderId="0" xfId="1" applyNumberFormat="1" applyFont="1" applyAlignment="1" applyProtection="1">
      <alignment horizontal="center"/>
      <protection locked="0"/>
    </xf>
    <xf numFmtId="0" fontId="9" fillId="0" borderId="1" xfId="1" applyFont="1" applyBorder="1" applyAlignment="1" applyProtection="1">
      <alignment horizontal="center" vertical="center"/>
      <protection locked="0"/>
    </xf>
    <xf numFmtId="1" fontId="9" fillId="0" borderId="2" xfId="1" applyNumberFormat="1" applyFont="1" applyBorder="1" applyAlignment="1" applyProtection="1">
      <alignment horizontal="center" vertical="center"/>
      <protection locked="0"/>
    </xf>
    <xf numFmtId="164" fontId="9" fillId="0" borderId="3" xfId="1" applyNumberFormat="1" applyFont="1" applyBorder="1" applyAlignment="1" applyProtection="1">
      <alignment horizontal="center" vertical="center"/>
      <protection locked="0"/>
    </xf>
    <xf numFmtId="164" fontId="9" fillId="0" borderId="3" xfId="1" applyNumberFormat="1" applyFont="1" applyBorder="1" applyAlignment="1">
      <alignment horizontal="center" vertical="center"/>
    </xf>
    <xf numFmtId="164" fontId="8" fillId="0" borderId="0" xfId="1" applyNumberFormat="1" applyFont="1" applyAlignment="1">
      <alignment horizontal="center"/>
    </xf>
    <xf numFmtId="49" fontId="24" fillId="0" borderId="7" xfId="1" applyNumberFormat="1" applyFont="1" applyBorder="1" applyAlignment="1" applyProtection="1">
      <alignment horizontal="center"/>
      <protection locked="0"/>
    </xf>
    <xf numFmtId="1" fontId="22" fillId="0" borderId="0" xfId="0" applyNumberFormat="1" applyFont="1" applyAlignment="1" applyProtection="1">
      <alignment horizontal="center"/>
      <protection locked="0"/>
    </xf>
    <xf numFmtId="1" fontId="25" fillId="0" borderId="0" xfId="1" applyNumberFormat="1" applyFont="1" applyAlignment="1" applyProtection="1">
      <alignment horizontal="center"/>
      <protection locked="0"/>
    </xf>
    <xf numFmtId="1" fontId="4" fillId="0" borderId="0" xfId="1" applyNumberFormat="1" applyFont="1" applyAlignment="1" applyProtection="1">
      <alignment horizontal="right"/>
      <protection locked="0"/>
    </xf>
    <xf numFmtId="0" fontId="6" fillId="0" borderId="0" xfId="1" applyFont="1" applyAlignment="1" applyProtection="1">
      <alignment horizontal="center"/>
      <protection locked="0"/>
    </xf>
    <xf numFmtId="0" fontId="9" fillId="0" borderId="1" xfId="1" applyFont="1" applyBorder="1" applyAlignment="1" applyProtection="1">
      <alignment horizontal="center"/>
      <protection locked="0"/>
    </xf>
    <xf numFmtId="166" fontId="16" fillId="0" borderId="3" xfId="0" applyNumberFormat="1" applyFont="1" applyBorder="1" applyAlignment="1" applyProtection="1">
      <alignment horizontal="center"/>
      <protection locked="0"/>
    </xf>
    <xf numFmtId="0" fontId="9" fillId="0" borderId="3" xfId="1" applyFont="1" applyBorder="1" applyAlignment="1" applyProtection="1">
      <alignment horizontal="left"/>
      <protection locked="0"/>
    </xf>
    <xf numFmtId="0" fontId="9" fillId="0" borderId="3" xfId="1" applyFont="1" applyBorder="1" applyAlignment="1" applyProtection="1">
      <alignment horizontal="center"/>
      <protection locked="0"/>
    </xf>
    <xf numFmtId="0" fontId="16" fillId="0" borderId="3" xfId="0" applyFont="1" applyBorder="1"/>
    <xf numFmtId="164" fontId="16" fillId="0" borderId="3" xfId="3" applyNumberFormat="1" applyFont="1" applyFill="1" applyBorder="1" applyAlignment="1" applyProtection="1">
      <alignment horizontal="center"/>
    </xf>
    <xf numFmtId="164" fontId="20" fillId="0" borderId="0" xfId="1" applyNumberFormat="1" applyFont="1" applyAlignment="1">
      <alignment horizontal="center"/>
    </xf>
    <xf numFmtId="0" fontId="21" fillId="0" borderId="0" xfId="0" applyFont="1" applyAlignment="1">
      <alignment horizontal="center"/>
    </xf>
    <xf numFmtId="49" fontId="7" fillId="0" borderId="8" xfId="1" applyNumberFormat="1" applyFont="1" applyBorder="1" applyAlignment="1" applyProtection="1">
      <alignment horizontal="center"/>
      <protection locked="0"/>
    </xf>
    <xf numFmtId="49" fontId="19" fillId="0" borderId="5" xfId="0" applyNumberFormat="1" applyFont="1" applyBorder="1" applyProtection="1">
      <protection locked="0"/>
    </xf>
    <xf numFmtId="0" fontId="15" fillId="0" borderId="0" xfId="1" applyFont="1" applyAlignment="1" applyProtection="1">
      <alignment horizontal="center" vertical="center"/>
      <protection locked="0"/>
    </xf>
    <xf numFmtId="164" fontId="15" fillId="0" borderId="0" xfId="1" applyNumberFormat="1" applyFont="1" applyAlignment="1" applyProtection="1">
      <alignment horizontal="center" vertical="center"/>
      <protection locked="0"/>
    </xf>
    <xf numFmtId="0" fontId="9" fillId="0" borderId="1" xfId="1" applyFont="1" applyBorder="1" applyAlignment="1" applyProtection="1">
      <alignment horizontal="center" shrinkToFit="1"/>
      <protection locked="0"/>
    </xf>
    <xf numFmtId="0" fontId="23" fillId="0" borderId="6" xfId="0" applyFont="1" applyBorder="1" applyAlignment="1" applyProtection="1">
      <alignment shrinkToFit="1"/>
      <protection locked="0"/>
    </xf>
    <xf numFmtId="14" fontId="7" fillId="0" borderId="8" xfId="1" applyNumberFormat="1" applyFont="1" applyBorder="1" applyAlignment="1" applyProtection="1">
      <alignment horizontal="center"/>
      <protection locked="0"/>
    </xf>
    <xf numFmtId="14" fontId="7" fillId="0" borderId="4" xfId="1" applyNumberFormat="1" applyFont="1" applyBorder="1" applyAlignment="1" applyProtection="1">
      <alignment horizontal="center"/>
      <protection locked="0"/>
    </xf>
    <xf numFmtId="14" fontId="7" fillId="0" borderId="5" xfId="1" applyNumberFormat="1" applyFont="1" applyBorder="1" applyAlignment="1" applyProtection="1">
      <alignment horizontal="center"/>
      <protection locked="0"/>
    </xf>
    <xf numFmtId="49" fontId="7" fillId="0" borderId="5" xfId="1" applyNumberFormat="1" applyFont="1" applyBorder="1" applyAlignment="1" applyProtection="1">
      <alignment horizontal="center"/>
      <protection locked="0"/>
    </xf>
  </cellXfs>
  <cellStyles count="4">
    <cellStyle name="Currency" xfId="3" builtinId="4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826191</xdr:colOff>
      <xdr:row>0</xdr:row>
      <xdr:rowOff>178595</xdr:rowOff>
    </xdr:from>
    <xdr:to>
      <xdr:col>17</xdr:col>
      <xdr:colOff>514350</xdr:colOff>
      <xdr:row>5</xdr:row>
      <xdr:rowOff>416718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22879" y="178595"/>
          <a:ext cx="4638778" cy="24526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2"/>
  <sheetViews>
    <sheetView tabSelected="1" view="pageBreakPreview" topLeftCell="D9" zoomScaleNormal="100" zoomScaleSheetLayoutView="100" workbookViewId="0">
      <selection activeCell="P17" sqref="P10:P17"/>
    </sheetView>
  </sheetViews>
  <sheetFormatPr defaultRowHeight="30" customHeight="1" x14ac:dyDescent="0.35"/>
  <cols>
    <col min="1" max="1" width="9.1796875" style="1"/>
    <col min="2" max="2" width="14" style="1" customWidth="1"/>
    <col min="3" max="3" width="31.7265625" style="1" customWidth="1"/>
    <col min="4" max="4" width="52.81640625" style="1" customWidth="1"/>
    <col min="5" max="6" width="12.54296875" style="1" customWidth="1"/>
    <col min="7" max="7" width="11.81640625" style="2" customWidth="1"/>
    <col min="8" max="8" width="12" style="2" customWidth="1"/>
    <col min="9" max="9" width="14.7265625" style="2" customWidth="1"/>
    <col min="10" max="10" width="10.7265625" style="2" customWidth="1"/>
    <col min="11" max="11" width="12.26953125" style="2" customWidth="1"/>
    <col min="12" max="12" width="9.453125" style="2" customWidth="1"/>
    <col min="13" max="13" width="11.453125" style="2" customWidth="1"/>
    <col min="14" max="14" width="11.7265625" style="2" customWidth="1"/>
    <col min="15" max="15" width="12.1796875" style="2" customWidth="1"/>
    <col min="16" max="16" width="11.453125" style="3" customWidth="1"/>
    <col min="17" max="17" width="15.453125" style="1" customWidth="1"/>
    <col min="18" max="18" width="21" style="1" customWidth="1"/>
    <col min="19" max="259" width="9.1796875" style="1"/>
    <col min="260" max="260" width="13.26953125" style="1" customWidth="1"/>
    <col min="261" max="261" width="19.81640625" style="1" customWidth="1"/>
    <col min="262" max="262" width="26.81640625" style="1" customWidth="1"/>
    <col min="263" max="263" width="9.26953125" style="1" bestFit="1" customWidth="1"/>
    <col min="264" max="264" width="9.1796875" style="1"/>
    <col min="265" max="265" width="9.81640625" style="1" bestFit="1" customWidth="1"/>
    <col min="266" max="266" width="9.1796875" style="1"/>
    <col min="267" max="267" width="9.26953125" style="1" bestFit="1" customWidth="1"/>
    <col min="268" max="269" width="9.1796875" style="1"/>
    <col min="270" max="270" width="9.26953125" style="1" bestFit="1" customWidth="1"/>
    <col min="271" max="271" width="9.1796875" style="1"/>
    <col min="272" max="272" width="9.26953125" style="1" bestFit="1" customWidth="1"/>
    <col min="273" max="273" width="10" style="1" bestFit="1" customWidth="1"/>
    <col min="274" max="274" width="11.54296875" style="1" bestFit="1" customWidth="1"/>
    <col min="275" max="515" width="9.1796875" style="1"/>
    <col min="516" max="516" width="13.26953125" style="1" customWidth="1"/>
    <col min="517" max="517" width="19.81640625" style="1" customWidth="1"/>
    <col min="518" max="518" width="26.81640625" style="1" customWidth="1"/>
    <col min="519" max="519" width="9.26953125" style="1" bestFit="1" customWidth="1"/>
    <col min="520" max="520" width="9.1796875" style="1"/>
    <col min="521" max="521" width="9.81640625" style="1" bestFit="1" customWidth="1"/>
    <col min="522" max="522" width="9.1796875" style="1"/>
    <col min="523" max="523" width="9.26953125" style="1" bestFit="1" customWidth="1"/>
    <col min="524" max="525" width="9.1796875" style="1"/>
    <col min="526" max="526" width="9.26953125" style="1" bestFit="1" customWidth="1"/>
    <col min="527" max="527" width="9.1796875" style="1"/>
    <col min="528" max="528" width="9.26953125" style="1" bestFit="1" customWidth="1"/>
    <col min="529" max="529" width="10" style="1" bestFit="1" customWidth="1"/>
    <col min="530" max="530" width="11.54296875" style="1" bestFit="1" customWidth="1"/>
    <col min="531" max="771" width="9.1796875" style="1"/>
    <col min="772" max="772" width="13.26953125" style="1" customWidth="1"/>
    <col min="773" max="773" width="19.81640625" style="1" customWidth="1"/>
    <col min="774" max="774" width="26.81640625" style="1" customWidth="1"/>
    <col min="775" max="775" width="9.26953125" style="1" bestFit="1" customWidth="1"/>
    <col min="776" max="776" width="9.1796875" style="1"/>
    <col min="777" max="777" width="9.81640625" style="1" bestFit="1" customWidth="1"/>
    <col min="778" max="778" width="9.1796875" style="1"/>
    <col min="779" max="779" width="9.26953125" style="1" bestFit="1" customWidth="1"/>
    <col min="780" max="781" width="9.1796875" style="1"/>
    <col min="782" max="782" width="9.26953125" style="1" bestFit="1" customWidth="1"/>
    <col min="783" max="783" width="9.1796875" style="1"/>
    <col min="784" max="784" width="9.26953125" style="1" bestFit="1" customWidth="1"/>
    <col min="785" max="785" width="10" style="1" bestFit="1" customWidth="1"/>
    <col min="786" max="786" width="11.54296875" style="1" bestFit="1" customWidth="1"/>
    <col min="787" max="1027" width="9.1796875" style="1"/>
    <col min="1028" max="1028" width="13.26953125" style="1" customWidth="1"/>
    <col min="1029" max="1029" width="19.81640625" style="1" customWidth="1"/>
    <col min="1030" max="1030" width="26.81640625" style="1" customWidth="1"/>
    <col min="1031" max="1031" width="9.26953125" style="1" bestFit="1" customWidth="1"/>
    <col min="1032" max="1032" width="9.1796875" style="1"/>
    <col min="1033" max="1033" width="9.81640625" style="1" bestFit="1" customWidth="1"/>
    <col min="1034" max="1034" width="9.1796875" style="1"/>
    <col min="1035" max="1035" width="9.26953125" style="1" bestFit="1" customWidth="1"/>
    <col min="1036" max="1037" width="9.1796875" style="1"/>
    <col min="1038" max="1038" width="9.26953125" style="1" bestFit="1" customWidth="1"/>
    <col min="1039" max="1039" width="9.1796875" style="1"/>
    <col min="1040" max="1040" width="9.26953125" style="1" bestFit="1" customWidth="1"/>
    <col min="1041" max="1041" width="10" style="1" bestFit="1" customWidth="1"/>
    <col min="1042" max="1042" width="11.54296875" style="1" bestFit="1" customWidth="1"/>
    <col min="1043" max="1283" width="9.1796875" style="1"/>
    <col min="1284" max="1284" width="13.26953125" style="1" customWidth="1"/>
    <col min="1285" max="1285" width="19.81640625" style="1" customWidth="1"/>
    <col min="1286" max="1286" width="26.81640625" style="1" customWidth="1"/>
    <col min="1287" max="1287" width="9.26953125" style="1" bestFit="1" customWidth="1"/>
    <col min="1288" max="1288" width="9.1796875" style="1"/>
    <col min="1289" max="1289" width="9.81640625" style="1" bestFit="1" customWidth="1"/>
    <col min="1290" max="1290" width="9.1796875" style="1"/>
    <col min="1291" max="1291" width="9.26953125" style="1" bestFit="1" customWidth="1"/>
    <col min="1292" max="1293" width="9.1796875" style="1"/>
    <col min="1294" max="1294" width="9.26953125" style="1" bestFit="1" customWidth="1"/>
    <col min="1295" max="1295" width="9.1796875" style="1"/>
    <col min="1296" max="1296" width="9.26953125" style="1" bestFit="1" customWidth="1"/>
    <col min="1297" max="1297" width="10" style="1" bestFit="1" customWidth="1"/>
    <col min="1298" max="1298" width="11.54296875" style="1" bestFit="1" customWidth="1"/>
    <col min="1299" max="1539" width="9.1796875" style="1"/>
    <col min="1540" max="1540" width="13.26953125" style="1" customWidth="1"/>
    <col min="1541" max="1541" width="19.81640625" style="1" customWidth="1"/>
    <col min="1542" max="1542" width="26.81640625" style="1" customWidth="1"/>
    <col min="1543" max="1543" width="9.26953125" style="1" bestFit="1" customWidth="1"/>
    <col min="1544" max="1544" width="9.1796875" style="1"/>
    <col min="1545" max="1545" width="9.81640625" style="1" bestFit="1" customWidth="1"/>
    <col min="1546" max="1546" width="9.1796875" style="1"/>
    <col min="1547" max="1547" width="9.26953125" style="1" bestFit="1" customWidth="1"/>
    <col min="1548" max="1549" width="9.1796875" style="1"/>
    <col min="1550" max="1550" width="9.26953125" style="1" bestFit="1" customWidth="1"/>
    <col min="1551" max="1551" width="9.1796875" style="1"/>
    <col min="1552" max="1552" width="9.26953125" style="1" bestFit="1" customWidth="1"/>
    <col min="1553" max="1553" width="10" style="1" bestFit="1" customWidth="1"/>
    <col min="1554" max="1554" width="11.54296875" style="1" bestFit="1" customWidth="1"/>
    <col min="1555" max="1795" width="9.1796875" style="1"/>
    <col min="1796" max="1796" width="13.26953125" style="1" customWidth="1"/>
    <col min="1797" max="1797" width="19.81640625" style="1" customWidth="1"/>
    <col min="1798" max="1798" width="26.81640625" style="1" customWidth="1"/>
    <col min="1799" max="1799" width="9.26953125" style="1" bestFit="1" customWidth="1"/>
    <col min="1800" max="1800" width="9.1796875" style="1"/>
    <col min="1801" max="1801" width="9.81640625" style="1" bestFit="1" customWidth="1"/>
    <col min="1802" max="1802" width="9.1796875" style="1"/>
    <col min="1803" max="1803" width="9.26953125" style="1" bestFit="1" customWidth="1"/>
    <col min="1804" max="1805" width="9.1796875" style="1"/>
    <col min="1806" max="1806" width="9.26953125" style="1" bestFit="1" customWidth="1"/>
    <col min="1807" max="1807" width="9.1796875" style="1"/>
    <col min="1808" max="1808" width="9.26953125" style="1" bestFit="1" customWidth="1"/>
    <col min="1809" max="1809" width="10" style="1" bestFit="1" customWidth="1"/>
    <col min="1810" max="1810" width="11.54296875" style="1" bestFit="1" customWidth="1"/>
    <col min="1811" max="2051" width="9.1796875" style="1"/>
    <col min="2052" max="2052" width="13.26953125" style="1" customWidth="1"/>
    <col min="2053" max="2053" width="19.81640625" style="1" customWidth="1"/>
    <col min="2054" max="2054" width="26.81640625" style="1" customWidth="1"/>
    <col min="2055" max="2055" width="9.26953125" style="1" bestFit="1" customWidth="1"/>
    <col min="2056" max="2056" width="9.1796875" style="1"/>
    <col min="2057" max="2057" width="9.81640625" style="1" bestFit="1" customWidth="1"/>
    <col min="2058" max="2058" width="9.1796875" style="1"/>
    <col min="2059" max="2059" width="9.26953125" style="1" bestFit="1" customWidth="1"/>
    <col min="2060" max="2061" width="9.1796875" style="1"/>
    <col min="2062" max="2062" width="9.26953125" style="1" bestFit="1" customWidth="1"/>
    <col min="2063" max="2063" width="9.1796875" style="1"/>
    <col min="2064" max="2064" width="9.26953125" style="1" bestFit="1" customWidth="1"/>
    <col min="2065" max="2065" width="10" style="1" bestFit="1" customWidth="1"/>
    <col min="2066" max="2066" width="11.54296875" style="1" bestFit="1" customWidth="1"/>
    <col min="2067" max="2307" width="9.1796875" style="1"/>
    <col min="2308" max="2308" width="13.26953125" style="1" customWidth="1"/>
    <col min="2309" max="2309" width="19.81640625" style="1" customWidth="1"/>
    <col min="2310" max="2310" width="26.81640625" style="1" customWidth="1"/>
    <col min="2311" max="2311" width="9.26953125" style="1" bestFit="1" customWidth="1"/>
    <col min="2312" max="2312" width="9.1796875" style="1"/>
    <col min="2313" max="2313" width="9.81640625" style="1" bestFit="1" customWidth="1"/>
    <col min="2314" max="2314" width="9.1796875" style="1"/>
    <col min="2315" max="2315" width="9.26953125" style="1" bestFit="1" customWidth="1"/>
    <col min="2316" max="2317" width="9.1796875" style="1"/>
    <col min="2318" max="2318" width="9.26953125" style="1" bestFit="1" customWidth="1"/>
    <col min="2319" max="2319" width="9.1796875" style="1"/>
    <col min="2320" max="2320" width="9.26953125" style="1" bestFit="1" customWidth="1"/>
    <col min="2321" max="2321" width="10" style="1" bestFit="1" customWidth="1"/>
    <col min="2322" max="2322" width="11.54296875" style="1" bestFit="1" customWidth="1"/>
    <col min="2323" max="2563" width="9.1796875" style="1"/>
    <col min="2564" max="2564" width="13.26953125" style="1" customWidth="1"/>
    <col min="2565" max="2565" width="19.81640625" style="1" customWidth="1"/>
    <col min="2566" max="2566" width="26.81640625" style="1" customWidth="1"/>
    <col min="2567" max="2567" width="9.26953125" style="1" bestFit="1" customWidth="1"/>
    <col min="2568" max="2568" width="9.1796875" style="1"/>
    <col min="2569" max="2569" width="9.81640625" style="1" bestFit="1" customWidth="1"/>
    <col min="2570" max="2570" width="9.1796875" style="1"/>
    <col min="2571" max="2571" width="9.26953125" style="1" bestFit="1" customWidth="1"/>
    <col min="2572" max="2573" width="9.1796875" style="1"/>
    <col min="2574" max="2574" width="9.26953125" style="1" bestFit="1" customWidth="1"/>
    <col min="2575" max="2575" width="9.1796875" style="1"/>
    <col min="2576" max="2576" width="9.26953125" style="1" bestFit="1" customWidth="1"/>
    <col min="2577" max="2577" width="10" style="1" bestFit="1" customWidth="1"/>
    <col min="2578" max="2578" width="11.54296875" style="1" bestFit="1" customWidth="1"/>
    <col min="2579" max="2819" width="9.1796875" style="1"/>
    <col min="2820" max="2820" width="13.26953125" style="1" customWidth="1"/>
    <col min="2821" max="2821" width="19.81640625" style="1" customWidth="1"/>
    <col min="2822" max="2822" width="26.81640625" style="1" customWidth="1"/>
    <col min="2823" max="2823" width="9.26953125" style="1" bestFit="1" customWidth="1"/>
    <col min="2824" max="2824" width="9.1796875" style="1"/>
    <col min="2825" max="2825" width="9.81640625" style="1" bestFit="1" customWidth="1"/>
    <col min="2826" max="2826" width="9.1796875" style="1"/>
    <col min="2827" max="2827" width="9.26953125" style="1" bestFit="1" customWidth="1"/>
    <col min="2828" max="2829" width="9.1796875" style="1"/>
    <col min="2830" max="2830" width="9.26953125" style="1" bestFit="1" customWidth="1"/>
    <col min="2831" max="2831" width="9.1796875" style="1"/>
    <col min="2832" max="2832" width="9.26953125" style="1" bestFit="1" customWidth="1"/>
    <col min="2833" max="2833" width="10" style="1" bestFit="1" customWidth="1"/>
    <col min="2834" max="2834" width="11.54296875" style="1" bestFit="1" customWidth="1"/>
    <col min="2835" max="3075" width="9.1796875" style="1"/>
    <col min="3076" max="3076" width="13.26953125" style="1" customWidth="1"/>
    <col min="3077" max="3077" width="19.81640625" style="1" customWidth="1"/>
    <col min="3078" max="3078" width="26.81640625" style="1" customWidth="1"/>
    <col min="3079" max="3079" width="9.26953125" style="1" bestFit="1" customWidth="1"/>
    <col min="3080" max="3080" width="9.1796875" style="1"/>
    <col min="3081" max="3081" width="9.81640625" style="1" bestFit="1" customWidth="1"/>
    <col min="3082" max="3082" width="9.1796875" style="1"/>
    <col min="3083" max="3083" width="9.26953125" style="1" bestFit="1" customWidth="1"/>
    <col min="3084" max="3085" width="9.1796875" style="1"/>
    <col min="3086" max="3086" width="9.26953125" style="1" bestFit="1" customWidth="1"/>
    <col min="3087" max="3087" width="9.1796875" style="1"/>
    <col min="3088" max="3088" width="9.26953125" style="1" bestFit="1" customWidth="1"/>
    <col min="3089" max="3089" width="10" style="1" bestFit="1" customWidth="1"/>
    <col min="3090" max="3090" width="11.54296875" style="1" bestFit="1" customWidth="1"/>
    <col min="3091" max="3331" width="9.1796875" style="1"/>
    <col min="3332" max="3332" width="13.26953125" style="1" customWidth="1"/>
    <col min="3333" max="3333" width="19.81640625" style="1" customWidth="1"/>
    <col min="3334" max="3334" width="26.81640625" style="1" customWidth="1"/>
    <col min="3335" max="3335" width="9.26953125" style="1" bestFit="1" customWidth="1"/>
    <col min="3336" max="3336" width="9.1796875" style="1"/>
    <col min="3337" max="3337" width="9.81640625" style="1" bestFit="1" customWidth="1"/>
    <col min="3338" max="3338" width="9.1796875" style="1"/>
    <col min="3339" max="3339" width="9.26953125" style="1" bestFit="1" customWidth="1"/>
    <col min="3340" max="3341" width="9.1796875" style="1"/>
    <col min="3342" max="3342" width="9.26953125" style="1" bestFit="1" customWidth="1"/>
    <col min="3343" max="3343" width="9.1796875" style="1"/>
    <col min="3344" max="3344" width="9.26953125" style="1" bestFit="1" customWidth="1"/>
    <col min="3345" max="3345" width="10" style="1" bestFit="1" customWidth="1"/>
    <col min="3346" max="3346" width="11.54296875" style="1" bestFit="1" customWidth="1"/>
    <col min="3347" max="3587" width="9.1796875" style="1"/>
    <col min="3588" max="3588" width="13.26953125" style="1" customWidth="1"/>
    <col min="3589" max="3589" width="19.81640625" style="1" customWidth="1"/>
    <col min="3590" max="3590" width="26.81640625" style="1" customWidth="1"/>
    <col min="3591" max="3591" width="9.26953125" style="1" bestFit="1" customWidth="1"/>
    <col min="3592" max="3592" width="9.1796875" style="1"/>
    <col min="3593" max="3593" width="9.81640625" style="1" bestFit="1" customWidth="1"/>
    <col min="3594" max="3594" width="9.1796875" style="1"/>
    <col min="3595" max="3595" width="9.26953125" style="1" bestFit="1" customWidth="1"/>
    <col min="3596" max="3597" width="9.1796875" style="1"/>
    <col min="3598" max="3598" width="9.26953125" style="1" bestFit="1" customWidth="1"/>
    <col min="3599" max="3599" width="9.1796875" style="1"/>
    <col min="3600" max="3600" width="9.26953125" style="1" bestFit="1" customWidth="1"/>
    <col min="3601" max="3601" width="10" style="1" bestFit="1" customWidth="1"/>
    <col min="3602" max="3602" width="11.54296875" style="1" bestFit="1" customWidth="1"/>
    <col min="3603" max="3843" width="9.1796875" style="1"/>
    <col min="3844" max="3844" width="13.26953125" style="1" customWidth="1"/>
    <col min="3845" max="3845" width="19.81640625" style="1" customWidth="1"/>
    <col min="3846" max="3846" width="26.81640625" style="1" customWidth="1"/>
    <col min="3847" max="3847" width="9.26953125" style="1" bestFit="1" customWidth="1"/>
    <col min="3848" max="3848" width="9.1796875" style="1"/>
    <col min="3849" max="3849" width="9.81640625" style="1" bestFit="1" customWidth="1"/>
    <col min="3850" max="3850" width="9.1796875" style="1"/>
    <col min="3851" max="3851" width="9.26953125" style="1" bestFit="1" customWidth="1"/>
    <col min="3852" max="3853" width="9.1796875" style="1"/>
    <col min="3854" max="3854" width="9.26953125" style="1" bestFit="1" customWidth="1"/>
    <col min="3855" max="3855" width="9.1796875" style="1"/>
    <col min="3856" max="3856" width="9.26953125" style="1" bestFit="1" customWidth="1"/>
    <col min="3857" max="3857" width="10" style="1" bestFit="1" customWidth="1"/>
    <col min="3858" max="3858" width="11.54296875" style="1" bestFit="1" customWidth="1"/>
    <col min="3859" max="4099" width="9.1796875" style="1"/>
    <col min="4100" max="4100" width="13.26953125" style="1" customWidth="1"/>
    <col min="4101" max="4101" width="19.81640625" style="1" customWidth="1"/>
    <col min="4102" max="4102" width="26.81640625" style="1" customWidth="1"/>
    <col min="4103" max="4103" width="9.26953125" style="1" bestFit="1" customWidth="1"/>
    <col min="4104" max="4104" width="9.1796875" style="1"/>
    <col min="4105" max="4105" width="9.81640625" style="1" bestFit="1" customWidth="1"/>
    <col min="4106" max="4106" width="9.1796875" style="1"/>
    <col min="4107" max="4107" width="9.26953125" style="1" bestFit="1" customWidth="1"/>
    <col min="4108" max="4109" width="9.1796875" style="1"/>
    <col min="4110" max="4110" width="9.26953125" style="1" bestFit="1" customWidth="1"/>
    <col min="4111" max="4111" width="9.1796875" style="1"/>
    <col min="4112" max="4112" width="9.26953125" style="1" bestFit="1" customWidth="1"/>
    <col min="4113" max="4113" width="10" style="1" bestFit="1" customWidth="1"/>
    <col min="4114" max="4114" width="11.54296875" style="1" bestFit="1" customWidth="1"/>
    <col min="4115" max="4355" width="9.1796875" style="1"/>
    <col min="4356" max="4356" width="13.26953125" style="1" customWidth="1"/>
    <col min="4357" max="4357" width="19.81640625" style="1" customWidth="1"/>
    <col min="4358" max="4358" width="26.81640625" style="1" customWidth="1"/>
    <col min="4359" max="4359" width="9.26953125" style="1" bestFit="1" customWidth="1"/>
    <col min="4360" max="4360" width="9.1796875" style="1"/>
    <col min="4361" max="4361" width="9.81640625" style="1" bestFit="1" customWidth="1"/>
    <col min="4362" max="4362" width="9.1796875" style="1"/>
    <col min="4363" max="4363" width="9.26953125" style="1" bestFit="1" customWidth="1"/>
    <col min="4364" max="4365" width="9.1796875" style="1"/>
    <col min="4366" max="4366" width="9.26953125" style="1" bestFit="1" customWidth="1"/>
    <col min="4367" max="4367" width="9.1796875" style="1"/>
    <col min="4368" max="4368" width="9.26953125" style="1" bestFit="1" customWidth="1"/>
    <col min="4369" max="4369" width="10" style="1" bestFit="1" customWidth="1"/>
    <col min="4370" max="4370" width="11.54296875" style="1" bestFit="1" customWidth="1"/>
    <col min="4371" max="4611" width="9.1796875" style="1"/>
    <col min="4612" max="4612" width="13.26953125" style="1" customWidth="1"/>
    <col min="4613" max="4613" width="19.81640625" style="1" customWidth="1"/>
    <col min="4614" max="4614" width="26.81640625" style="1" customWidth="1"/>
    <col min="4615" max="4615" width="9.26953125" style="1" bestFit="1" customWidth="1"/>
    <col min="4616" max="4616" width="9.1796875" style="1"/>
    <col min="4617" max="4617" width="9.81640625" style="1" bestFit="1" customWidth="1"/>
    <col min="4618" max="4618" width="9.1796875" style="1"/>
    <col min="4619" max="4619" width="9.26953125" style="1" bestFit="1" customWidth="1"/>
    <col min="4620" max="4621" width="9.1796875" style="1"/>
    <col min="4622" max="4622" width="9.26953125" style="1" bestFit="1" customWidth="1"/>
    <col min="4623" max="4623" width="9.1796875" style="1"/>
    <col min="4624" max="4624" width="9.26953125" style="1" bestFit="1" customWidth="1"/>
    <col min="4625" max="4625" width="10" style="1" bestFit="1" customWidth="1"/>
    <col min="4626" max="4626" width="11.54296875" style="1" bestFit="1" customWidth="1"/>
    <col min="4627" max="4867" width="9.1796875" style="1"/>
    <col min="4868" max="4868" width="13.26953125" style="1" customWidth="1"/>
    <col min="4869" max="4869" width="19.81640625" style="1" customWidth="1"/>
    <col min="4870" max="4870" width="26.81640625" style="1" customWidth="1"/>
    <col min="4871" max="4871" width="9.26953125" style="1" bestFit="1" customWidth="1"/>
    <col min="4872" max="4872" width="9.1796875" style="1"/>
    <col min="4873" max="4873" width="9.81640625" style="1" bestFit="1" customWidth="1"/>
    <col min="4874" max="4874" width="9.1796875" style="1"/>
    <col min="4875" max="4875" width="9.26953125" style="1" bestFit="1" customWidth="1"/>
    <col min="4876" max="4877" width="9.1796875" style="1"/>
    <col min="4878" max="4878" width="9.26953125" style="1" bestFit="1" customWidth="1"/>
    <col min="4879" max="4879" width="9.1796875" style="1"/>
    <col min="4880" max="4880" width="9.26953125" style="1" bestFit="1" customWidth="1"/>
    <col min="4881" max="4881" width="10" style="1" bestFit="1" customWidth="1"/>
    <col min="4882" max="4882" width="11.54296875" style="1" bestFit="1" customWidth="1"/>
    <col min="4883" max="5123" width="9.1796875" style="1"/>
    <col min="5124" max="5124" width="13.26953125" style="1" customWidth="1"/>
    <col min="5125" max="5125" width="19.81640625" style="1" customWidth="1"/>
    <col min="5126" max="5126" width="26.81640625" style="1" customWidth="1"/>
    <col min="5127" max="5127" width="9.26953125" style="1" bestFit="1" customWidth="1"/>
    <col min="5128" max="5128" width="9.1796875" style="1"/>
    <col min="5129" max="5129" width="9.81640625" style="1" bestFit="1" customWidth="1"/>
    <col min="5130" max="5130" width="9.1796875" style="1"/>
    <col min="5131" max="5131" width="9.26953125" style="1" bestFit="1" customWidth="1"/>
    <col min="5132" max="5133" width="9.1796875" style="1"/>
    <col min="5134" max="5134" width="9.26953125" style="1" bestFit="1" customWidth="1"/>
    <col min="5135" max="5135" width="9.1796875" style="1"/>
    <col min="5136" max="5136" width="9.26953125" style="1" bestFit="1" customWidth="1"/>
    <col min="5137" max="5137" width="10" style="1" bestFit="1" customWidth="1"/>
    <col min="5138" max="5138" width="11.54296875" style="1" bestFit="1" customWidth="1"/>
    <col min="5139" max="5379" width="9.1796875" style="1"/>
    <col min="5380" max="5380" width="13.26953125" style="1" customWidth="1"/>
    <col min="5381" max="5381" width="19.81640625" style="1" customWidth="1"/>
    <col min="5382" max="5382" width="26.81640625" style="1" customWidth="1"/>
    <col min="5383" max="5383" width="9.26953125" style="1" bestFit="1" customWidth="1"/>
    <col min="5384" max="5384" width="9.1796875" style="1"/>
    <col min="5385" max="5385" width="9.81640625" style="1" bestFit="1" customWidth="1"/>
    <col min="5386" max="5386" width="9.1796875" style="1"/>
    <col min="5387" max="5387" width="9.26953125" style="1" bestFit="1" customWidth="1"/>
    <col min="5388" max="5389" width="9.1796875" style="1"/>
    <col min="5390" max="5390" width="9.26953125" style="1" bestFit="1" customWidth="1"/>
    <col min="5391" max="5391" width="9.1796875" style="1"/>
    <col min="5392" max="5392" width="9.26953125" style="1" bestFit="1" customWidth="1"/>
    <col min="5393" max="5393" width="10" style="1" bestFit="1" customWidth="1"/>
    <col min="5394" max="5394" width="11.54296875" style="1" bestFit="1" customWidth="1"/>
    <col min="5395" max="5635" width="9.1796875" style="1"/>
    <col min="5636" max="5636" width="13.26953125" style="1" customWidth="1"/>
    <col min="5637" max="5637" width="19.81640625" style="1" customWidth="1"/>
    <col min="5638" max="5638" width="26.81640625" style="1" customWidth="1"/>
    <col min="5639" max="5639" width="9.26953125" style="1" bestFit="1" customWidth="1"/>
    <col min="5640" max="5640" width="9.1796875" style="1"/>
    <col min="5641" max="5641" width="9.81640625" style="1" bestFit="1" customWidth="1"/>
    <col min="5642" max="5642" width="9.1796875" style="1"/>
    <col min="5643" max="5643" width="9.26953125" style="1" bestFit="1" customWidth="1"/>
    <col min="5644" max="5645" width="9.1796875" style="1"/>
    <col min="5646" max="5646" width="9.26953125" style="1" bestFit="1" customWidth="1"/>
    <col min="5647" max="5647" width="9.1796875" style="1"/>
    <col min="5648" max="5648" width="9.26953125" style="1" bestFit="1" customWidth="1"/>
    <col min="5649" max="5649" width="10" style="1" bestFit="1" customWidth="1"/>
    <col min="5650" max="5650" width="11.54296875" style="1" bestFit="1" customWidth="1"/>
    <col min="5651" max="5891" width="9.1796875" style="1"/>
    <col min="5892" max="5892" width="13.26953125" style="1" customWidth="1"/>
    <col min="5893" max="5893" width="19.81640625" style="1" customWidth="1"/>
    <col min="5894" max="5894" width="26.81640625" style="1" customWidth="1"/>
    <col min="5895" max="5895" width="9.26953125" style="1" bestFit="1" customWidth="1"/>
    <col min="5896" max="5896" width="9.1796875" style="1"/>
    <col min="5897" max="5897" width="9.81640625" style="1" bestFit="1" customWidth="1"/>
    <col min="5898" max="5898" width="9.1796875" style="1"/>
    <col min="5899" max="5899" width="9.26953125" style="1" bestFit="1" customWidth="1"/>
    <col min="5900" max="5901" width="9.1796875" style="1"/>
    <col min="5902" max="5902" width="9.26953125" style="1" bestFit="1" customWidth="1"/>
    <col min="5903" max="5903" width="9.1796875" style="1"/>
    <col min="5904" max="5904" width="9.26953125" style="1" bestFit="1" customWidth="1"/>
    <col min="5905" max="5905" width="10" style="1" bestFit="1" customWidth="1"/>
    <col min="5906" max="5906" width="11.54296875" style="1" bestFit="1" customWidth="1"/>
    <col min="5907" max="6147" width="9.1796875" style="1"/>
    <col min="6148" max="6148" width="13.26953125" style="1" customWidth="1"/>
    <col min="6149" max="6149" width="19.81640625" style="1" customWidth="1"/>
    <col min="6150" max="6150" width="26.81640625" style="1" customWidth="1"/>
    <col min="6151" max="6151" width="9.26953125" style="1" bestFit="1" customWidth="1"/>
    <col min="6152" max="6152" width="9.1796875" style="1"/>
    <col min="6153" max="6153" width="9.81640625" style="1" bestFit="1" customWidth="1"/>
    <col min="6154" max="6154" width="9.1796875" style="1"/>
    <col min="6155" max="6155" width="9.26953125" style="1" bestFit="1" customWidth="1"/>
    <col min="6156" max="6157" width="9.1796875" style="1"/>
    <col min="6158" max="6158" width="9.26953125" style="1" bestFit="1" customWidth="1"/>
    <col min="6159" max="6159" width="9.1796875" style="1"/>
    <col min="6160" max="6160" width="9.26953125" style="1" bestFit="1" customWidth="1"/>
    <col min="6161" max="6161" width="10" style="1" bestFit="1" customWidth="1"/>
    <col min="6162" max="6162" width="11.54296875" style="1" bestFit="1" customWidth="1"/>
    <col min="6163" max="6403" width="9.1796875" style="1"/>
    <col min="6404" max="6404" width="13.26953125" style="1" customWidth="1"/>
    <col min="6405" max="6405" width="19.81640625" style="1" customWidth="1"/>
    <col min="6406" max="6406" width="26.81640625" style="1" customWidth="1"/>
    <col min="6407" max="6407" width="9.26953125" style="1" bestFit="1" customWidth="1"/>
    <col min="6408" max="6408" width="9.1796875" style="1"/>
    <col min="6409" max="6409" width="9.81640625" style="1" bestFit="1" customWidth="1"/>
    <col min="6410" max="6410" width="9.1796875" style="1"/>
    <col min="6411" max="6411" width="9.26953125" style="1" bestFit="1" customWidth="1"/>
    <col min="6412" max="6413" width="9.1796875" style="1"/>
    <col min="6414" max="6414" width="9.26953125" style="1" bestFit="1" customWidth="1"/>
    <col min="6415" max="6415" width="9.1796875" style="1"/>
    <col min="6416" max="6416" width="9.26953125" style="1" bestFit="1" customWidth="1"/>
    <col min="6417" max="6417" width="10" style="1" bestFit="1" customWidth="1"/>
    <col min="6418" max="6418" width="11.54296875" style="1" bestFit="1" customWidth="1"/>
    <col min="6419" max="6659" width="9.1796875" style="1"/>
    <col min="6660" max="6660" width="13.26953125" style="1" customWidth="1"/>
    <col min="6661" max="6661" width="19.81640625" style="1" customWidth="1"/>
    <col min="6662" max="6662" width="26.81640625" style="1" customWidth="1"/>
    <col min="6663" max="6663" width="9.26953125" style="1" bestFit="1" customWidth="1"/>
    <col min="6664" max="6664" width="9.1796875" style="1"/>
    <col min="6665" max="6665" width="9.81640625" style="1" bestFit="1" customWidth="1"/>
    <col min="6666" max="6666" width="9.1796875" style="1"/>
    <col min="6667" max="6667" width="9.26953125" style="1" bestFit="1" customWidth="1"/>
    <col min="6668" max="6669" width="9.1796875" style="1"/>
    <col min="6670" max="6670" width="9.26953125" style="1" bestFit="1" customWidth="1"/>
    <col min="6671" max="6671" width="9.1796875" style="1"/>
    <col min="6672" max="6672" width="9.26953125" style="1" bestFit="1" customWidth="1"/>
    <col min="6673" max="6673" width="10" style="1" bestFit="1" customWidth="1"/>
    <col min="6674" max="6674" width="11.54296875" style="1" bestFit="1" customWidth="1"/>
    <col min="6675" max="6915" width="9.1796875" style="1"/>
    <col min="6916" max="6916" width="13.26953125" style="1" customWidth="1"/>
    <col min="6917" max="6917" width="19.81640625" style="1" customWidth="1"/>
    <col min="6918" max="6918" width="26.81640625" style="1" customWidth="1"/>
    <col min="6919" max="6919" width="9.26953125" style="1" bestFit="1" customWidth="1"/>
    <col min="6920" max="6920" width="9.1796875" style="1"/>
    <col min="6921" max="6921" width="9.81640625" style="1" bestFit="1" customWidth="1"/>
    <col min="6922" max="6922" width="9.1796875" style="1"/>
    <col min="6923" max="6923" width="9.26953125" style="1" bestFit="1" customWidth="1"/>
    <col min="6924" max="6925" width="9.1796875" style="1"/>
    <col min="6926" max="6926" width="9.26953125" style="1" bestFit="1" customWidth="1"/>
    <col min="6927" max="6927" width="9.1796875" style="1"/>
    <col min="6928" max="6928" width="9.26953125" style="1" bestFit="1" customWidth="1"/>
    <col min="6929" max="6929" width="10" style="1" bestFit="1" customWidth="1"/>
    <col min="6930" max="6930" width="11.54296875" style="1" bestFit="1" customWidth="1"/>
    <col min="6931" max="7171" width="9.1796875" style="1"/>
    <col min="7172" max="7172" width="13.26953125" style="1" customWidth="1"/>
    <col min="7173" max="7173" width="19.81640625" style="1" customWidth="1"/>
    <col min="7174" max="7174" width="26.81640625" style="1" customWidth="1"/>
    <col min="7175" max="7175" width="9.26953125" style="1" bestFit="1" customWidth="1"/>
    <col min="7176" max="7176" width="9.1796875" style="1"/>
    <col min="7177" max="7177" width="9.81640625" style="1" bestFit="1" customWidth="1"/>
    <col min="7178" max="7178" width="9.1796875" style="1"/>
    <col min="7179" max="7179" width="9.26953125" style="1" bestFit="1" customWidth="1"/>
    <col min="7180" max="7181" width="9.1796875" style="1"/>
    <col min="7182" max="7182" width="9.26953125" style="1" bestFit="1" customWidth="1"/>
    <col min="7183" max="7183" width="9.1796875" style="1"/>
    <col min="7184" max="7184" width="9.26953125" style="1" bestFit="1" customWidth="1"/>
    <col min="7185" max="7185" width="10" style="1" bestFit="1" customWidth="1"/>
    <col min="7186" max="7186" width="11.54296875" style="1" bestFit="1" customWidth="1"/>
    <col min="7187" max="7427" width="9.1796875" style="1"/>
    <col min="7428" max="7428" width="13.26953125" style="1" customWidth="1"/>
    <col min="7429" max="7429" width="19.81640625" style="1" customWidth="1"/>
    <col min="7430" max="7430" width="26.81640625" style="1" customWidth="1"/>
    <col min="7431" max="7431" width="9.26953125" style="1" bestFit="1" customWidth="1"/>
    <col min="7432" max="7432" width="9.1796875" style="1"/>
    <col min="7433" max="7433" width="9.81640625" style="1" bestFit="1" customWidth="1"/>
    <col min="7434" max="7434" width="9.1796875" style="1"/>
    <col min="7435" max="7435" width="9.26953125" style="1" bestFit="1" customWidth="1"/>
    <col min="7436" max="7437" width="9.1796875" style="1"/>
    <col min="7438" max="7438" width="9.26953125" style="1" bestFit="1" customWidth="1"/>
    <col min="7439" max="7439" width="9.1796875" style="1"/>
    <col min="7440" max="7440" width="9.26953125" style="1" bestFit="1" customWidth="1"/>
    <col min="7441" max="7441" width="10" style="1" bestFit="1" customWidth="1"/>
    <col min="7442" max="7442" width="11.54296875" style="1" bestFit="1" customWidth="1"/>
    <col min="7443" max="7683" width="9.1796875" style="1"/>
    <col min="7684" max="7684" width="13.26953125" style="1" customWidth="1"/>
    <col min="7685" max="7685" width="19.81640625" style="1" customWidth="1"/>
    <col min="7686" max="7686" width="26.81640625" style="1" customWidth="1"/>
    <col min="7687" max="7687" width="9.26953125" style="1" bestFit="1" customWidth="1"/>
    <col min="7688" max="7688" width="9.1796875" style="1"/>
    <col min="7689" max="7689" width="9.81640625" style="1" bestFit="1" customWidth="1"/>
    <col min="7690" max="7690" width="9.1796875" style="1"/>
    <col min="7691" max="7691" width="9.26953125" style="1" bestFit="1" customWidth="1"/>
    <col min="7692" max="7693" width="9.1796875" style="1"/>
    <col min="7694" max="7694" width="9.26953125" style="1" bestFit="1" customWidth="1"/>
    <col min="7695" max="7695" width="9.1796875" style="1"/>
    <col min="7696" max="7696" width="9.26953125" style="1" bestFit="1" customWidth="1"/>
    <col min="7697" max="7697" width="10" style="1" bestFit="1" customWidth="1"/>
    <col min="7698" max="7698" width="11.54296875" style="1" bestFit="1" customWidth="1"/>
    <col min="7699" max="7939" width="9.1796875" style="1"/>
    <col min="7940" max="7940" width="13.26953125" style="1" customWidth="1"/>
    <col min="7941" max="7941" width="19.81640625" style="1" customWidth="1"/>
    <col min="7942" max="7942" width="26.81640625" style="1" customWidth="1"/>
    <col min="7943" max="7943" width="9.26953125" style="1" bestFit="1" customWidth="1"/>
    <col min="7944" max="7944" width="9.1796875" style="1"/>
    <col min="7945" max="7945" width="9.81640625" style="1" bestFit="1" customWidth="1"/>
    <col min="7946" max="7946" width="9.1796875" style="1"/>
    <col min="7947" max="7947" width="9.26953125" style="1" bestFit="1" customWidth="1"/>
    <col min="7948" max="7949" width="9.1796875" style="1"/>
    <col min="7950" max="7950" width="9.26953125" style="1" bestFit="1" customWidth="1"/>
    <col min="7951" max="7951" width="9.1796875" style="1"/>
    <col min="7952" max="7952" width="9.26953125" style="1" bestFit="1" customWidth="1"/>
    <col min="7953" max="7953" width="10" style="1" bestFit="1" customWidth="1"/>
    <col min="7954" max="7954" width="11.54296875" style="1" bestFit="1" customWidth="1"/>
    <col min="7955" max="8195" width="9.1796875" style="1"/>
    <col min="8196" max="8196" width="13.26953125" style="1" customWidth="1"/>
    <col min="8197" max="8197" width="19.81640625" style="1" customWidth="1"/>
    <col min="8198" max="8198" width="26.81640625" style="1" customWidth="1"/>
    <col min="8199" max="8199" width="9.26953125" style="1" bestFit="1" customWidth="1"/>
    <col min="8200" max="8200" width="9.1796875" style="1"/>
    <col min="8201" max="8201" width="9.81640625" style="1" bestFit="1" customWidth="1"/>
    <col min="8202" max="8202" width="9.1796875" style="1"/>
    <col min="8203" max="8203" width="9.26953125" style="1" bestFit="1" customWidth="1"/>
    <col min="8204" max="8205" width="9.1796875" style="1"/>
    <col min="8206" max="8206" width="9.26953125" style="1" bestFit="1" customWidth="1"/>
    <col min="8207" max="8207" width="9.1796875" style="1"/>
    <col min="8208" max="8208" width="9.26953125" style="1" bestFit="1" customWidth="1"/>
    <col min="8209" max="8209" width="10" style="1" bestFit="1" customWidth="1"/>
    <col min="8210" max="8210" width="11.54296875" style="1" bestFit="1" customWidth="1"/>
    <col min="8211" max="8451" width="9.1796875" style="1"/>
    <col min="8452" max="8452" width="13.26953125" style="1" customWidth="1"/>
    <col min="8453" max="8453" width="19.81640625" style="1" customWidth="1"/>
    <col min="8454" max="8454" width="26.81640625" style="1" customWidth="1"/>
    <col min="8455" max="8455" width="9.26953125" style="1" bestFit="1" customWidth="1"/>
    <col min="8456" max="8456" width="9.1796875" style="1"/>
    <col min="8457" max="8457" width="9.81640625" style="1" bestFit="1" customWidth="1"/>
    <col min="8458" max="8458" width="9.1796875" style="1"/>
    <col min="8459" max="8459" width="9.26953125" style="1" bestFit="1" customWidth="1"/>
    <col min="8460" max="8461" width="9.1796875" style="1"/>
    <col min="8462" max="8462" width="9.26953125" style="1" bestFit="1" customWidth="1"/>
    <col min="8463" max="8463" width="9.1796875" style="1"/>
    <col min="8464" max="8464" width="9.26953125" style="1" bestFit="1" customWidth="1"/>
    <col min="8465" max="8465" width="10" style="1" bestFit="1" customWidth="1"/>
    <col min="8466" max="8466" width="11.54296875" style="1" bestFit="1" customWidth="1"/>
    <col min="8467" max="8707" width="9.1796875" style="1"/>
    <col min="8708" max="8708" width="13.26953125" style="1" customWidth="1"/>
    <col min="8709" max="8709" width="19.81640625" style="1" customWidth="1"/>
    <col min="8710" max="8710" width="26.81640625" style="1" customWidth="1"/>
    <col min="8711" max="8711" width="9.26953125" style="1" bestFit="1" customWidth="1"/>
    <col min="8712" max="8712" width="9.1796875" style="1"/>
    <col min="8713" max="8713" width="9.81640625" style="1" bestFit="1" customWidth="1"/>
    <col min="8714" max="8714" width="9.1796875" style="1"/>
    <col min="8715" max="8715" width="9.26953125" style="1" bestFit="1" customWidth="1"/>
    <col min="8716" max="8717" width="9.1796875" style="1"/>
    <col min="8718" max="8718" width="9.26953125" style="1" bestFit="1" customWidth="1"/>
    <col min="8719" max="8719" width="9.1796875" style="1"/>
    <col min="8720" max="8720" width="9.26953125" style="1" bestFit="1" customWidth="1"/>
    <col min="8721" max="8721" width="10" style="1" bestFit="1" customWidth="1"/>
    <col min="8722" max="8722" width="11.54296875" style="1" bestFit="1" customWidth="1"/>
    <col min="8723" max="8963" width="9.1796875" style="1"/>
    <col min="8964" max="8964" width="13.26953125" style="1" customWidth="1"/>
    <col min="8965" max="8965" width="19.81640625" style="1" customWidth="1"/>
    <col min="8966" max="8966" width="26.81640625" style="1" customWidth="1"/>
    <col min="8967" max="8967" width="9.26953125" style="1" bestFit="1" customWidth="1"/>
    <col min="8968" max="8968" width="9.1796875" style="1"/>
    <col min="8969" max="8969" width="9.81640625" style="1" bestFit="1" customWidth="1"/>
    <col min="8970" max="8970" width="9.1796875" style="1"/>
    <col min="8971" max="8971" width="9.26953125" style="1" bestFit="1" customWidth="1"/>
    <col min="8972" max="8973" width="9.1796875" style="1"/>
    <col min="8974" max="8974" width="9.26953125" style="1" bestFit="1" customWidth="1"/>
    <col min="8975" max="8975" width="9.1796875" style="1"/>
    <col min="8976" max="8976" width="9.26953125" style="1" bestFit="1" customWidth="1"/>
    <col min="8977" max="8977" width="10" style="1" bestFit="1" customWidth="1"/>
    <col min="8978" max="8978" width="11.54296875" style="1" bestFit="1" customWidth="1"/>
    <col min="8979" max="9219" width="9.1796875" style="1"/>
    <col min="9220" max="9220" width="13.26953125" style="1" customWidth="1"/>
    <col min="9221" max="9221" width="19.81640625" style="1" customWidth="1"/>
    <col min="9222" max="9222" width="26.81640625" style="1" customWidth="1"/>
    <col min="9223" max="9223" width="9.26953125" style="1" bestFit="1" customWidth="1"/>
    <col min="9224" max="9224" width="9.1796875" style="1"/>
    <col min="9225" max="9225" width="9.81640625" style="1" bestFit="1" customWidth="1"/>
    <col min="9226" max="9226" width="9.1796875" style="1"/>
    <col min="9227" max="9227" width="9.26953125" style="1" bestFit="1" customWidth="1"/>
    <col min="9228" max="9229" width="9.1796875" style="1"/>
    <col min="9230" max="9230" width="9.26953125" style="1" bestFit="1" customWidth="1"/>
    <col min="9231" max="9231" width="9.1796875" style="1"/>
    <col min="9232" max="9232" width="9.26953125" style="1" bestFit="1" customWidth="1"/>
    <col min="9233" max="9233" width="10" style="1" bestFit="1" customWidth="1"/>
    <col min="9234" max="9234" width="11.54296875" style="1" bestFit="1" customWidth="1"/>
    <col min="9235" max="9475" width="9.1796875" style="1"/>
    <col min="9476" max="9476" width="13.26953125" style="1" customWidth="1"/>
    <col min="9477" max="9477" width="19.81640625" style="1" customWidth="1"/>
    <col min="9478" max="9478" width="26.81640625" style="1" customWidth="1"/>
    <col min="9479" max="9479" width="9.26953125" style="1" bestFit="1" customWidth="1"/>
    <col min="9480" max="9480" width="9.1796875" style="1"/>
    <col min="9481" max="9481" width="9.81640625" style="1" bestFit="1" customWidth="1"/>
    <col min="9482" max="9482" width="9.1796875" style="1"/>
    <col min="9483" max="9483" width="9.26953125" style="1" bestFit="1" customWidth="1"/>
    <col min="9484" max="9485" width="9.1796875" style="1"/>
    <col min="9486" max="9486" width="9.26953125" style="1" bestFit="1" customWidth="1"/>
    <col min="9487" max="9487" width="9.1796875" style="1"/>
    <col min="9488" max="9488" width="9.26953125" style="1" bestFit="1" customWidth="1"/>
    <col min="9489" max="9489" width="10" style="1" bestFit="1" customWidth="1"/>
    <col min="9490" max="9490" width="11.54296875" style="1" bestFit="1" customWidth="1"/>
    <col min="9491" max="9731" width="9.1796875" style="1"/>
    <col min="9732" max="9732" width="13.26953125" style="1" customWidth="1"/>
    <col min="9733" max="9733" width="19.81640625" style="1" customWidth="1"/>
    <col min="9734" max="9734" width="26.81640625" style="1" customWidth="1"/>
    <col min="9735" max="9735" width="9.26953125" style="1" bestFit="1" customWidth="1"/>
    <col min="9736" max="9736" width="9.1796875" style="1"/>
    <col min="9737" max="9737" width="9.81640625" style="1" bestFit="1" customWidth="1"/>
    <col min="9738" max="9738" width="9.1796875" style="1"/>
    <col min="9739" max="9739" width="9.26953125" style="1" bestFit="1" customWidth="1"/>
    <col min="9740" max="9741" width="9.1796875" style="1"/>
    <col min="9742" max="9742" width="9.26953125" style="1" bestFit="1" customWidth="1"/>
    <col min="9743" max="9743" width="9.1796875" style="1"/>
    <col min="9744" max="9744" width="9.26953125" style="1" bestFit="1" customWidth="1"/>
    <col min="9745" max="9745" width="10" style="1" bestFit="1" customWidth="1"/>
    <col min="9746" max="9746" width="11.54296875" style="1" bestFit="1" customWidth="1"/>
    <col min="9747" max="9987" width="9.1796875" style="1"/>
    <col min="9988" max="9988" width="13.26953125" style="1" customWidth="1"/>
    <col min="9989" max="9989" width="19.81640625" style="1" customWidth="1"/>
    <col min="9990" max="9990" width="26.81640625" style="1" customWidth="1"/>
    <col min="9991" max="9991" width="9.26953125" style="1" bestFit="1" customWidth="1"/>
    <col min="9992" max="9992" width="9.1796875" style="1"/>
    <col min="9993" max="9993" width="9.81640625" style="1" bestFit="1" customWidth="1"/>
    <col min="9994" max="9994" width="9.1796875" style="1"/>
    <col min="9995" max="9995" width="9.26953125" style="1" bestFit="1" customWidth="1"/>
    <col min="9996" max="9997" width="9.1796875" style="1"/>
    <col min="9998" max="9998" width="9.26953125" style="1" bestFit="1" customWidth="1"/>
    <col min="9999" max="9999" width="9.1796875" style="1"/>
    <col min="10000" max="10000" width="9.26953125" style="1" bestFit="1" customWidth="1"/>
    <col min="10001" max="10001" width="10" style="1" bestFit="1" customWidth="1"/>
    <col min="10002" max="10002" width="11.54296875" style="1" bestFit="1" customWidth="1"/>
    <col min="10003" max="10243" width="9.1796875" style="1"/>
    <col min="10244" max="10244" width="13.26953125" style="1" customWidth="1"/>
    <col min="10245" max="10245" width="19.81640625" style="1" customWidth="1"/>
    <col min="10246" max="10246" width="26.81640625" style="1" customWidth="1"/>
    <col min="10247" max="10247" width="9.26953125" style="1" bestFit="1" customWidth="1"/>
    <col min="10248" max="10248" width="9.1796875" style="1"/>
    <col min="10249" max="10249" width="9.81640625" style="1" bestFit="1" customWidth="1"/>
    <col min="10250" max="10250" width="9.1796875" style="1"/>
    <col min="10251" max="10251" width="9.26953125" style="1" bestFit="1" customWidth="1"/>
    <col min="10252" max="10253" width="9.1796875" style="1"/>
    <col min="10254" max="10254" width="9.26953125" style="1" bestFit="1" customWidth="1"/>
    <col min="10255" max="10255" width="9.1796875" style="1"/>
    <col min="10256" max="10256" width="9.26953125" style="1" bestFit="1" customWidth="1"/>
    <col min="10257" max="10257" width="10" style="1" bestFit="1" customWidth="1"/>
    <col min="10258" max="10258" width="11.54296875" style="1" bestFit="1" customWidth="1"/>
    <col min="10259" max="10499" width="9.1796875" style="1"/>
    <col min="10500" max="10500" width="13.26953125" style="1" customWidth="1"/>
    <col min="10501" max="10501" width="19.81640625" style="1" customWidth="1"/>
    <col min="10502" max="10502" width="26.81640625" style="1" customWidth="1"/>
    <col min="10503" max="10503" width="9.26953125" style="1" bestFit="1" customWidth="1"/>
    <col min="10504" max="10504" width="9.1796875" style="1"/>
    <col min="10505" max="10505" width="9.81640625" style="1" bestFit="1" customWidth="1"/>
    <col min="10506" max="10506" width="9.1796875" style="1"/>
    <col min="10507" max="10507" width="9.26953125" style="1" bestFit="1" customWidth="1"/>
    <col min="10508" max="10509" width="9.1796875" style="1"/>
    <col min="10510" max="10510" width="9.26953125" style="1" bestFit="1" customWidth="1"/>
    <col min="10511" max="10511" width="9.1796875" style="1"/>
    <col min="10512" max="10512" width="9.26953125" style="1" bestFit="1" customWidth="1"/>
    <col min="10513" max="10513" width="10" style="1" bestFit="1" customWidth="1"/>
    <col min="10514" max="10514" width="11.54296875" style="1" bestFit="1" customWidth="1"/>
    <col min="10515" max="10755" width="9.1796875" style="1"/>
    <col min="10756" max="10756" width="13.26953125" style="1" customWidth="1"/>
    <col min="10757" max="10757" width="19.81640625" style="1" customWidth="1"/>
    <col min="10758" max="10758" width="26.81640625" style="1" customWidth="1"/>
    <col min="10759" max="10759" width="9.26953125" style="1" bestFit="1" customWidth="1"/>
    <col min="10760" max="10760" width="9.1796875" style="1"/>
    <col min="10761" max="10761" width="9.81640625" style="1" bestFit="1" customWidth="1"/>
    <col min="10762" max="10762" width="9.1796875" style="1"/>
    <col min="10763" max="10763" width="9.26953125" style="1" bestFit="1" customWidth="1"/>
    <col min="10764" max="10765" width="9.1796875" style="1"/>
    <col min="10766" max="10766" width="9.26953125" style="1" bestFit="1" customWidth="1"/>
    <col min="10767" max="10767" width="9.1796875" style="1"/>
    <col min="10768" max="10768" width="9.26953125" style="1" bestFit="1" customWidth="1"/>
    <col min="10769" max="10769" width="10" style="1" bestFit="1" customWidth="1"/>
    <col min="10770" max="10770" width="11.54296875" style="1" bestFit="1" customWidth="1"/>
    <col min="10771" max="11011" width="9.1796875" style="1"/>
    <col min="11012" max="11012" width="13.26953125" style="1" customWidth="1"/>
    <col min="11013" max="11013" width="19.81640625" style="1" customWidth="1"/>
    <col min="11014" max="11014" width="26.81640625" style="1" customWidth="1"/>
    <col min="11015" max="11015" width="9.26953125" style="1" bestFit="1" customWidth="1"/>
    <col min="11016" max="11016" width="9.1796875" style="1"/>
    <col min="11017" max="11017" width="9.81640625" style="1" bestFit="1" customWidth="1"/>
    <col min="11018" max="11018" width="9.1796875" style="1"/>
    <col min="11019" max="11019" width="9.26953125" style="1" bestFit="1" customWidth="1"/>
    <col min="11020" max="11021" width="9.1796875" style="1"/>
    <col min="11022" max="11022" width="9.26953125" style="1" bestFit="1" customWidth="1"/>
    <col min="11023" max="11023" width="9.1796875" style="1"/>
    <col min="11024" max="11024" width="9.26953125" style="1" bestFit="1" customWidth="1"/>
    <col min="11025" max="11025" width="10" style="1" bestFit="1" customWidth="1"/>
    <col min="11026" max="11026" width="11.54296875" style="1" bestFit="1" customWidth="1"/>
    <col min="11027" max="11267" width="9.1796875" style="1"/>
    <col min="11268" max="11268" width="13.26953125" style="1" customWidth="1"/>
    <col min="11269" max="11269" width="19.81640625" style="1" customWidth="1"/>
    <col min="11270" max="11270" width="26.81640625" style="1" customWidth="1"/>
    <col min="11271" max="11271" width="9.26953125" style="1" bestFit="1" customWidth="1"/>
    <col min="11272" max="11272" width="9.1796875" style="1"/>
    <col min="11273" max="11273" width="9.81640625" style="1" bestFit="1" customWidth="1"/>
    <col min="11274" max="11274" width="9.1796875" style="1"/>
    <col min="11275" max="11275" width="9.26953125" style="1" bestFit="1" customWidth="1"/>
    <col min="11276" max="11277" width="9.1796875" style="1"/>
    <col min="11278" max="11278" width="9.26953125" style="1" bestFit="1" customWidth="1"/>
    <col min="11279" max="11279" width="9.1796875" style="1"/>
    <col min="11280" max="11280" width="9.26953125" style="1" bestFit="1" customWidth="1"/>
    <col min="11281" max="11281" width="10" style="1" bestFit="1" customWidth="1"/>
    <col min="11282" max="11282" width="11.54296875" style="1" bestFit="1" customWidth="1"/>
    <col min="11283" max="11523" width="9.1796875" style="1"/>
    <col min="11524" max="11524" width="13.26953125" style="1" customWidth="1"/>
    <col min="11525" max="11525" width="19.81640625" style="1" customWidth="1"/>
    <col min="11526" max="11526" width="26.81640625" style="1" customWidth="1"/>
    <col min="11527" max="11527" width="9.26953125" style="1" bestFit="1" customWidth="1"/>
    <col min="11528" max="11528" width="9.1796875" style="1"/>
    <col min="11529" max="11529" width="9.81640625" style="1" bestFit="1" customWidth="1"/>
    <col min="11530" max="11530" width="9.1796875" style="1"/>
    <col min="11531" max="11531" width="9.26953125" style="1" bestFit="1" customWidth="1"/>
    <col min="11532" max="11533" width="9.1796875" style="1"/>
    <col min="11534" max="11534" width="9.26953125" style="1" bestFit="1" customWidth="1"/>
    <col min="11535" max="11535" width="9.1796875" style="1"/>
    <col min="11536" max="11536" width="9.26953125" style="1" bestFit="1" customWidth="1"/>
    <col min="11537" max="11537" width="10" style="1" bestFit="1" customWidth="1"/>
    <col min="11538" max="11538" width="11.54296875" style="1" bestFit="1" customWidth="1"/>
    <col min="11539" max="11779" width="9.1796875" style="1"/>
    <col min="11780" max="11780" width="13.26953125" style="1" customWidth="1"/>
    <col min="11781" max="11781" width="19.81640625" style="1" customWidth="1"/>
    <col min="11782" max="11782" width="26.81640625" style="1" customWidth="1"/>
    <col min="11783" max="11783" width="9.26953125" style="1" bestFit="1" customWidth="1"/>
    <col min="11784" max="11784" width="9.1796875" style="1"/>
    <col min="11785" max="11785" width="9.81640625" style="1" bestFit="1" customWidth="1"/>
    <col min="11786" max="11786" width="9.1796875" style="1"/>
    <col min="11787" max="11787" width="9.26953125" style="1" bestFit="1" customWidth="1"/>
    <col min="11788" max="11789" width="9.1796875" style="1"/>
    <col min="11790" max="11790" width="9.26953125" style="1" bestFit="1" customWidth="1"/>
    <col min="11791" max="11791" width="9.1796875" style="1"/>
    <col min="11792" max="11792" width="9.26953125" style="1" bestFit="1" customWidth="1"/>
    <col min="11793" max="11793" width="10" style="1" bestFit="1" customWidth="1"/>
    <col min="11794" max="11794" width="11.54296875" style="1" bestFit="1" customWidth="1"/>
    <col min="11795" max="12035" width="9.1796875" style="1"/>
    <col min="12036" max="12036" width="13.26953125" style="1" customWidth="1"/>
    <col min="12037" max="12037" width="19.81640625" style="1" customWidth="1"/>
    <col min="12038" max="12038" width="26.81640625" style="1" customWidth="1"/>
    <col min="12039" max="12039" width="9.26953125" style="1" bestFit="1" customWidth="1"/>
    <col min="12040" max="12040" width="9.1796875" style="1"/>
    <col min="12041" max="12041" width="9.81640625" style="1" bestFit="1" customWidth="1"/>
    <col min="12042" max="12042" width="9.1796875" style="1"/>
    <col min="12043" max="12043" width="9.26953125" style="1" bestFit="1" customWidth="1"/>
    <col min="12044" max="12045" width="9.1796875" style="1"/>
    <col min="12046" max="12046" width="9.26953125" style="1" bestFit="1" customWidth="1"/>
    <col min="12047" max="12047" width="9.1796875" style="1"/>
    <col min="12048" max="12048" width="9.26953125" style="1" bestFit="1" customWidth="1"/>
    <col min="12049" max="12049" width="10" style="1" bestFit="1" customWidth="1"/>
    <col min="12050" max="12050" width="11.54296875" style="1" bestFit="1" customWidth="1"/>
    <col min="12051" max="12291" width="9.1796875" style="1"/>
    <col min="12292" max="12292" width="13.26953125" style="1" customWidth="1"/>
    <col min="12293" max="12293" width="19.81640625" style="1" customWidth="1"/>
    <col min="12294" max="12294" width="26.81640625" style="1" customWidth="1"/>
    <col min="12295" max="12295" width="9.26953125" style="1" bestFit="1" customWidth="1"/>
    <col min="12296" max="12296" width="9.1796875" style="1"/>
    <col min="12297" max="12297" width="9.81640625" style="1" bestFit="1" customWidth="1"/>
    <col min="12298" max="12298" width="9.1796875" style="1"/>
    <col min="12299" max="12299" width="9.26953125" style="1" bestFit="1" customWidth="1"/>
    <col min="12300" max="12301" width="9.1796875" style="1"/>
    <col min="12302" max="12302" width="9.26953125" style="1" bestFit="1" customWidth="1"/>
    <col min="12303" max="12303" width="9.1796875" style="1"/>
    <col min="12304" max="12304" width="9.26953125" style="1" bestFit="1" customWidth="1"/>
    <col min="12305" max="12305" width="10" style="1" bestFit="1" customWidth="1"/>
    <col min="12306" max="12306" width="11.54296875" style="1" bestFit="1" customWidth="1"/>
    <col min="12307" max="12547" width="9.1796875" style="1"/>
    <col min="12548" max="12548" width="13.26953125" style="1" customWidth="1"/>
    <col min="12549" max="12549" width="19.81640625" style="1" customWidth="1"/>
    <col min="12550" max="12550" width="26.81640625" style="1" customWidth="1"/>
    <col min="12551" max="12551" width="9.26953125" style="1" bestFit="1" customWidth="1"/>
    <col min="12552" max="12552" width="9.1796875" style="1"/>
    <col min="12553" max="12553" width="9.81640625" style="1" bestFit="1" customWidth="1"/>
    <col min="12554" max="12554" width="9.1796875" style="1"/>
    <col min="12555" max="12555" width="9.26953125" style="1" bestFit="1" customWidth="1"/>
    <col min="12556" max="12557" width="9.1796875" style="1"/>
    <col min="12558" max="12558" width="9.26953125" style="1" bestFit="1" customWidth="1"/>
    <col min="12559" max="12559" width="9.1796875" style="1"/>
    <col min="12560" max="12560" width="9.26953125" style="1" bestFit="1" customWidth="1"/>
    <col min="12561" max="12561" width="10" style="1" bestFit="1" customWidth="1"/>
    <col min="12562" max="12562" width="11.54296875" style="1" bestFit="1" customWidth="1"/>
    <col min="12563" max="12803" width="9.1796875" style="1"/>
    <col min="12804" max="12804" width="13.26953125" style="1" customWidth="1"/>
    <col min="12805" max="12805" width="19.81640625" style="1" customWidth="1"/>
    <col min="12806" max="12806" width="26.81640625" style="1" customWidth="1"/>
    <col min="12807" max="12807" width="9.26953125" style="1" bestFit="1" customWidth="1"/>
    <col min="12808" max="12808" width="9.1796875" style="1"/>
    <col min="12809" max="12809" width="9.81640625" style="1" bestFit="1" customWidth="1"/>
    <col min="12810" max="12810" width="9.1796875" style="1"/>
    <col min="12811" max="12811" width="9.26953125" style="1" bestFit="1" customWidth="1"/>
    <col min="12812" max="12813" width="9.1796875" style="1"/>
    <col min="12814" max="12814" width="9.26953125" style="1" bestFit="1" customWidth="1"/>
    <col min="12815" max="12815" width="9.1796875" style="1"/>
    <col min="12816" max="12816" width="9.26953125" style="1" bestFit="1" customWidth="1"/>
    <col min="12817" max="12817" width="10" style="1" bestFit="1" customWidth="1"/>
    <col min="12818" max="12818" width="11.54296875" style="1" bestFit="1" customWidth="1"/>
    <col min="12819" max="13059" width="9.1796875" style="1"/>
    <col min="13060" max="13060" width="13.26953125" style="1" customWidth="1"/>
    <col min="13061" max="13061" width="19.81640625" style="1" customWidth="1"/>
    <col min="13062" max="13062" width="26.81640625" style="1" customWidth="1"/>
    <col min="13063" max="13063" width="9.26953125" style="1" bestFit="1" customWidth="1"/>
    <col min="13064" max="13064" width="9.1796875" style="1"/>
    <col min="13065" max="13065" width="9.81640625" style="1" bestFit="1" customWidth="1"/>
    <col min="13066" max="13066" width="9.1796875" style="1"/>
    <col min="13067" max="13067" width="9.26953125" style="1" bestFit="1" customWidth="1"/>
    <col min="13068" max="13069" width="9.1796875" style="1"/>
    <col min="13070" max="13070" width="9.26953125" style="1" bestFit="1" customWidth="1"/>
    <col min="13071" max="13071" width="9.1796875" style="1"/>
    <col min="13072" max="13072" width="9.26953125" style="1" bestFit="1" customWidth="1"/>
    <col min="13073" max="13073" width="10" style="1" bestFit="1" customWidth="1"/>
    <col min="13074" max="13074" width="11.54296875" style="1" bestFit="1" customWidth="1"/>
    <col min="13075" max="13315" width="9.1796875" style="1"/>
    <col min="13316" max="13316" width="13.26953125" style="1" customWidth="1"/>
    <col min="13317" max="13317" width="19.81640625" style="1" customWidth="1"/>
    <col min="13318" max="13318" width="26.81640625" style="1" customWidth="1"/>
    <col min="13319" max="13319" width="9.26953125" style="1" bestFit="1" customWidth="1"/>
    <col min="13320" max="13320" width="9.1796875" style="1"/>
    <col min="13321" max="13321" width="9.81640625" style="1" bestFit="1" customWidth="1"/>
    <col min="13322" max="13322" width="9.1796875" style="1"/>
    <col min="13323" max="13323" width="9.26953125" style="1" bestFit="1" customWidth="1"/>
    <col min="13324" max="13325" width="9.1796875" style="1"/>
    <col min="13326" max="13326" width="9.26953125" style="1" bestFit="1" customWidth="1"/>
    <col min="13327" max="13327" width="9.1796875" style="1"/>
    <col min="13328" max="13328" width="9.26953125" style="1" bestFit="1" customWidth="1"/>
    <col min="13329" max="13329" width="10" style="1" bestFit="1" customWidth="1"/>
    <col min="13330" max="13330" width="11.54296875" style="1" bestFit="1" customWidth="1"/>
    <col min="13331" max="13571" width="9.1796875" style="1"/>
    <col min="13572" max="13572" width="13.26953125" style="1" customWidth="1"/>
    <col min="13573" max="13573" width="19.81640625" style="1" customWidth="1"/>
    <col min="13574" max="13574" width="26.81640625" style="1" customWidth="1"/>
    <col min="13575" max="13575" width="9.26953125" style="1" bestFit="1" customWidth="1"/>
    <col min="13576" max="13576" width="9.1796875" style="1"/>
    <col min="13577" max="13577" width="9.81640625" style="1" bestFit="1" customWidth="1"/>
    <col min="13578" max="13578" width="9.1796875" style="1"/>
    <col min="13579" max="13579" width="9.26953125" style="1" bestFit="1" customWidth="1"/>
    <col min="13580" max="13581" width="9.1796875" style="1"/>
    <col min="13582" max="13582" width="9.26953125" style="1" bestFit="1" customWidth="1"/>
    <col min="13583" max="13583" width="9.1796875" style="1"/>
    <col min="13584" max="13584" width="9.26953125" style="1" bestFit="1" customWidth="1"/>
    <col min="13585" max="13585" width="10" style="1" bestFit="1" customWidth="1"/>
    <col min="13586" max="13586" width="11.54296875" style="1" bestFit="1" customWidth="1"/>
    <col min="13587" max="13827" width="9.1796875" style="1"/>
    <col min="13828" max="13828" width="13.26953125" style="1" customWidth="1"/>
    <col min="13829" max="13829" width="19.81640625" style="1" customWidth="1"/>
    <col min="13830" max="13830" width="26.81640625" style="1" customWidth="1"/>
    <col min="13831" max="13831" width="9.26953125" style="1" bestFit="1" customWidth="1"/>
    <col min="13832" max="13832" width="9.1796875" style="1"/>
    <col min="13833" max="13833" width="9.81640625" style="1" bestFit="1" customWidth="1"/>
    <col min="13834" max="13834" width="9.1796875" style="1"/>
    <col min="13835" max="13835" width="9.26953125" style="1" bestFit="1" customWidth="1"/>
    <col min="13836" max="13837" width="9.1796875" style="1"/>
    <col min="13838" max="13838" width="9.26953125" style="1" bestFit="1" customWidth="1"/>
    <col min="13839" max="13839" width="9.1796875" style="1"/>
    <col min="13840" max="13840" width="9.26953125" style="1" bestFit="1" customWidth="1"/>
    <col min="13841" max="13841" width="10" style="1" bestFit="1" customWidth="1"/>
    <col min="13842" max="13842" width="11.54296875" style="1" bestFit="1" customWidth="1"/>
    <col min="13843" max="14083" width="9.1796875" style="1"/>
    <col min="14084" max="14084" width="13.26953125" style="1" customWidth="1"/>
    <col min="14085" max="14085" width="19.81640625" style="1" customWidth="1"/>
    <col min="14086" max="14086" width="26.81640625" style="1" customWidth="1"/>
    <col min="14087" max="14087" width="9.26953125" style="1" bestFit="1" customWidth="1"/>
    <col min="14088" max="14088" width="9.1796875" style="1"/>
    <col min="14089" max="14089" width="9.81640625" style="1" bestFit="1" customWidth="1"/>
    <col min="14090" max="14090" width="9.1796875" style="1"/>
    <col min="14091" max="14091" width="9.26953125" style="1" bestFit="1" customWidth="1"/>
    <col min="14092" max="14093" width="9.1796875" style="1"/>
    <col min="14094" max="14094" width="9.26953125" style="1" bestFit="1" customWidth="1"/>
    <col min="14095" max="14095" width="9.1796875" style="1"/>
    <col min="14096" max="14096" width="9.26953125" style="1" bestFit="1" customWidth="1"/>
    <col min="14097" max="14097" width="10" style="1" bestFit="1" customWidth="1"/>
    <col min="14098" max="14098" width="11.54296875" style="1" bestFit="1" customWidth="1"/>
    <col min="14099" max="14339" width="9.1796875" style="1"/>
    <col min="14340" max="14340" width="13.26953125" style="1" customWidth="1"/>
    <col min="14341" max="14341" width="19.81640625" style="1" customWidth="1"/>
    <col min="14342" max="14342" width="26.81640625" style="1" customWidth="1"/>
    <col min="14343" max="14343" width="9.26953125" style="1" bestFit="1" customWidth="1"/>
    <col min="14344" max="14344" width="9.1796875" style="1"/>
    <col min="14345" max="14345" width="9.81640625" style="1" bestFit="1" customWidth="1"/>
    <col min="14346" max="14346" width="9.1796875" style="1"/>
    <col min="14347" max="14347" width="9.26953125" style="1" bestFit="1" customWidth="1"/>
    <col min="14348" max="14349" width="9.1796875" style="1"/>
    <col min="14350" max="14350" width="9.26953125" style="1" bestFit="1" customWidth="1"/>
    <col min="14351" max="14351" width="9.1796875" style="1"/>
    <col min="14352" max="14352" width="9.26953125" style="1" bestFit="1" customWidth="1"/>
    <col min="14353" max="14353" width="10" style="1" bestFit="1" customWidth="1"/>
    <col min="14354" max="14354" width="11.54296875" style="1" bestFit="1" customWidth="1"/>
    <col min="14355" max="14595" width="9.1796875" style="1"/>
    <col min="14596" max="14596" width="13.26953125" style="1" customWidth="1"/>
    <col min="14597" max="14597" width="19.81640625" style="1" customWidth="1"/>
    <col min="14598" max="14598" width="26.81640625" style="1" customWidth="1"/>
    <col min="14599" max="14599" width="9.26953125" style="1" bestFit="1" customWidth="1"/>
    <col min="14600" max="14600" width="9.1796875" style="1"/>
    <col min="14601" max="14601" width="9.81640625" style="1" bestFit="1" customWidth="1"/>
    <col min="14602" max="14602" width="9.1796875" style="1"/>
    <col min="14603" max="14603" width="9.26953125" style="1" bestFit="1" customWidth="1"/>
    <col min="14604" max="14605" width="9.1796875" style="1"/>
    <col min="14606" max="14606" width="9.26953125" style="1" bestFit="1" customWidth="1"/>
    <col min="14607" max="14607" width="9.1796875" style="1"/>
    <col min="14608" max="14608" width="9.26953125" style="1" bestFit="1" customWidth="1"/>
    <col min="14609" max="14609" width="10" style="1" bestFit="1" customWidth="1"/>
    <col min="14610" max="14610" width="11.54296875" style="1" bestFit="1" customWidth="1"/>
    <col min="14611" max="14851" width="9.1796875" style="1"/>
    <col min="14852" max="14852" width="13.26953125" style="1" customWidth="1"/>
    <col min="14853" max="14853" width="19.81640625" style="1" customWidth="1"/>
    <col min="14854" max="14854" width="26.81640625" style="1" customWidth="1"/>
    <col min="14855" max="14855" width="9.26953125" style="1" bestFit="1" customWidth="1"/>
    <col min="14856" max="14856" width="9.1796875" style="1"/>
    <col min="14857" max="14857" width="9.81640625" style="1" bestFit="1" customWidth="1"/>
    <col min="14858" max="14858" width="9.1796875" style="1"/>
    <col min="14859" max="14859" width="9.26953125" style="1" bestFit="1" customWidth="1"/>
    <col min="14860" max="14861" width="9.1796875" style="1"/>
    <col min="14862" max="14862" width="9.26953125" style="1" bestFit="1" customWidth="1"/>
    <col min="14863" max="14863" width="9.1796875" style="1"/>
    <col min="14864" max="14864" width="9.26953125" style="1" bestFit="1" customWidth="1"/>
    <col min="14865" max="14865" width="10" style="1" bestFit="1" customWidth="1"/>
    <col min="14866" max="14866" width="11.54296875" style="1" bestFit="1" customWidth="1"/>
    <col min="14867" max="15107" width="9.1796875" style="1"/>
    <col min="15108" max="15108" width="13.26953125" style="1" customWidth="1"/>
    <col min="15109" max="15109" width="19.81640625" style="1" customWidth="1"/>
    <col min="15110" max="15110" width="26.81640625" style="1" customWidth="1"/>
    <col min="15111" max="15111" width="9.26953125" style="1" bestFit="1" customWidth="1"/>
    <col min="15112" max="15112" width="9.1796875" style="1"/>
    <col min="15113" max="15113" width="9.81640625" style="1" bestFit="1" customWidth="1"/>
    <col min="15114" max="15114" width="9.1796875" style="1"/>
    <col min="15115" max="15115" width="9.26953125" style="1" bestFit="1" customWidth="1"/>
    <col min="15116" max="15117" width="9.1796875" style="1"/>
    <col min="15118" max="15118" width="9.26953125" style="1" bestFit="1" customWidth="1"/>
    <col min="15119" max="15119" width="9.1796875" style="1"/>
    <col min="15120" max="15120" width="9.26953125" style="1" bestFit="1" customWidth="1"/>
    <col min="15121" max="15121" width="10" style="1" bestFit="1" customWidth="1"/>
    <col min="15122" max="15122" width="11.54296875" style="1" bestFit="1" customWidth="1"/>
    <col min="15123" max="15363" width="9.1796875" style="1"/>
    <col min="15364" max="15364" width="13.26953125" style="1" customWidth="1"/>
    <col min="15365" max="15365" width="19.81640625" style="1" customWidth="1"/>
    <col min="15366" max="15366" width="26.81640625" style="1" customWidth="1"/>
    <col min="15367" max="15367" width="9.26953125" style="1" bestFit="1" customWidth="1"/>
    <col min="15368" max="15368" width="9.1796875" style="1"/>
    <col min="15369" max="15369" width="9.81640625" style="1" bestFit="1" customWidth="1"/>
    <col min="15370" max="15370" width="9.1796875" style="1"/>
    <col min="15371" max="15371" width="9.26953125" style="1" bestFit="1" customWidth="1"/>
    <col min="15372" max="15373" width="9.1796875" style="1"/>
    <col min="15374" max="15374" width="9.26953125" style="1" bestFit="1" customWidth="1"/>
    <col min="15375" max="15375" width="9.1796875" style="1"/>
    <col min="15376" max="15376" width="9.26953125" style="1" bestFit="1" customWidth="1"/>
    <col min="15377" max="15377" width="10" style="1" bestFit="1" customWidth="1"/>
    <col min="15378" max="15378" width="11.54296875" style="1" bestFit="1" customWidth="1"/>
    <col min="15379" max="15619" width="9.1796875" style="1"/>
    <col min="15620" max="15620" width="13.26953125" style="1" customWidth="1"/>
    <col min="15621" max="15621" width="19.81640625" style="1" customWidth="1"/>
    <col min="15622" max="15622" width="26.81640625" style="1" customWidth="1"/>
    <col min="15623" max="15623" width="9.26953125" style="1" bestFit="1" customWidth="1"/>
    <col min="15624" max="15624" width="9.1796875" style="1"/>
    <col min="15625" max="15625" width="9.81640625" style="1" bestFit="1" customWidth="1"/>
    <col min="15626" max="15626" width="9.1796875" style="1"/>
    <col min="15627" max="15627" width="9.26953125" style="1" bestFit="1" customWidth="1"/>
    <col min="15628" max="15629" width="9.1796875" style="1"/>
    <col min="15630" max="15630" width="9.26953125" style="1" bestFit="1" customWidth="1"/>
    <col min="15631" max="15631" width="9.1796875" style="1"/>
    <col min="15632" max="15632" width="9.26953125" style="1" bestFit="1" customWidth="1"/>
    <col min="15633" max="15633" width="10" style="1" bestFit="1" customWidth="1"/>
    <col min="15634" max="15634" width="11.54296875" style="1" bestFit="1" customWidth="1"/>
    <col min="15635" max="15875" width="9.1796875" style="1"/>
    <col min="15876" max="15876" width="13.26953125" style="1" customWidth="1"/>
    <col min="15877" max="15877" width="19.81640625" style="1" customWidth="1"/>
    <col min="15878" max="15878" width="26.81640625" style="1" customWidth="1"/>
    <col min="15879" max="15879" width="9.26953125" style="1" bestFit="1" customWidth="1"/>
    <col min="15880" max="15880" width="9.1796875" style="1"/>
    <col min="15881" max="15881" width="9.81640625" style="1" bestFit="1" customWidth="1"/>
    <col min="15882" max="15882" width="9.1796875" style="1"/>
    <col min="15883" max="15883" width="9.26953125" style="1" bestFit="1" customWidth="1"/>
    <col min="15884" max="15885" width="9.1796875" style="1"/>
    <col min="15886" max="15886" width="9.26953125" style="1" bestFit="1" customWidth="1"/>
    <col min="15887" max="15887" width="9.1796875" style="1"/>
    <col min="15888" max="15888" width="9.26953125" style="1" bestFit="1" customWidth="1"/>
    <col min="15889" max="15889" width="10" style="1" bestFit="1" customWidth="1"/>
    <col min="15890" max="15890" width="11.54296875" style="1" bestFit="1" customWidth="1"/>
    <col min="15891" max="16131" width="9.1796875" style="1"/>
    <col min="16132" max="16132" width="13.26953125" style="1" customWidth="1"/>
    <col min="16133" max="16133" width="19.81640625" style="1" customWidth="1"/>
    <col min="16134" max="16134" width="26.81640625" style="1" customWidth="1"/>
    <col min="16135" max="16135" width="9.26953125" style="1" bestFit="1" customWidth="1"/>
    <col min="16136" max="16136" width="9.1796875" style="1"/>
    <col min="16137" max="16137" width="9.81640625" style="1" bestFit="1" customWidth="1"/>
    <col min="16138" max="16138" width="9.1796875" style="1"/>
    <col min="16139" max="16139" width="9.26953125" style="1" bestFit="1" customWidth="1"/>
    <col min="16140" max="16141" width="9.1796875" style="1"/>
    <col min="16142" max="16142" width="9.26953125" style="1" bestFit="1" customWidth="1"/>
    <col min="16143" max="16143" width="9.1796875" style="1"/>
    <col min="16144" max="16144" width="9.26953125" style="1" bestFit="1" customWidth="1"/>
    <col min="16145" max="16145" width="10" style="1" bestFit="1" customWidth="1"/>
    <col min="16146" max="16146" width="11.54296875" style="1" bestFit="1" customWidth="1"/>
    <col min="16147" max="16384" width="9.1796875" style="1"/>
  </cols>
  <sheetData>
    <row r="1" spans="2:18" ht="18" customHeight="1" x14ac:dyDescent="0.35">
      <c r="P1" s="5"/>
    </row>
    <row r="2" spans="2:18" ht="63.75" customHeight="1" x14ac:dyDescent="0.95">
      <c r="B2" s="6" t="s">
        <v>9</v>
      </c>
      <c r="I2" s="25" t="s">
        <v>42</v>
      </c>
      <c r="P2" s="5"/>
    </row>
    <row r="3" spans="2:18" ht="30" customHeight="1" x14ac:dyDescent="0.35">
      <c r="B3" s="83" t="s">
        <v>44</v>
      </c>
      <c r="C3" s="83"/>
      <c r="D3" s="83"/>
      <c r="E3" s="83"/>
      <c r="F3" s="83"/>
      <c r="G3" s="84"/>
      <c r="H3" s="46"/>
      <c r="I3" s="44"/>
      <c r="J3" s="44"/>
      <c r="K3" s="44"/>
      <c r="P3" s="5"/>
    </row>
    <row r="4" spans="2:18" ht="18" customHeight="1" x14ac:dyDescent="0.4">
      <c r="B4" s="47" t="s">
        <v>15</v>
      </c>
      <c r="C4" s="32"/>
      <c r="D4" s="32"/>
      <c r="E4" s="32"/>
      <c r="F4" s="32"/>
      <c r="G4" s="44"/>
      <c r="H4" s="44"/>
      <c r="I4" s="44"/>
      <c r="J4" s="44"/>
      <c r="K4" s="44"/>
      <c r="P4" s="5"/>
    </row>
    <row r="5" spans="2:18" s="4" customFormat="1" ht="45" customHeight="1" x14ac:dyDescent="0.3">
      <c r="B5" s="48" t="s">
        <v>0</v>
      </c>
      <c r="C5" s="48" t="s">
        <v>1</v>
      </c>
      <c r="D5" s="48"/>
      <c r="E5" s="48" t="s">
        <v>47</v>
      </c>
      <c r="F5" s="48" t="s">
        <v>11</v>
      </c>
      <c r="G5" s="49" t="s">
        <v>14</v>
      </c>
      <c r="H5" s="49" t="s">
        <v>13</v>
      </c>
      <c r="I5" s="49" t="s">
        <v>48</v>
      </c>
      <c r="J5" s="49" t="s">
        <v>40</v>
      </c>
      <c r="K5" s="49" t="s">
        <v>3</v>
      </c>
      <c r="L5" s="8"/>
      <c r="M5" s="8"/>
      <c r="O5" s="8"/>
      <c r="P5" s="9"/>
    </row>
    <row r="6" spans="2:18" ht="35.15" customHeight="1" x14ac:dyDescent="0.5">
      <c r="B6" s="63"/>
      <c r="C6" s="85"/>
      <c r="D6" s="86"/>
      <c r="E6" s="64"/>
      <c r="F6" s="65"/>
      <c r="G6" s="65"/>
      <c r="H6" s="65"/>
      <c r="I6" s="65"/>
      <c r="J6" s="66">
        <f>I6*E6</f>
        <v>0</v>
      </c>
      <c r="K6" s="66" t="e">
        <f>(F6-G6-H6-J6)/E6</f>
        <v>#DIV/0!</v>
      </c>
      <c r="P6" s="5"/>
      <c r="Q6" s="10"/>
      <c r="R6" s="10"/>
    </row>
    <row r="7" spans="2:18" ht="10.5" customHeight="1" x14ac:dyDescent="0.35">
      <c r="B7" s="32"/>
      <c r="C7" s="32"/>
      <c r="D7" s="32"/>
      <c r="E7" s="32"/>
      <c r="F7" s="32"/>
      <c r="G7" s="32"/>
      <c r="H7" s="32"/>
      <c r="I7" s="44"/>
      <c r="J7" s="44"/>
      <c r="K7" s="44"/>
      <c r="P7" s="5"/>
      <c r="Q7" s="10"/>
      <c r="R7" s="10"/>
    </row>
    <row r="8" spans="2:18" ht="18.75" customHeight="1" x14ac:dyDescent="0.4">
      <c r="B8" s="7" t="s">
        <v>10</v>
      </c>
      <c r="E8" s="7" t="s">
        <v>19</v>
      </c>
      <c r="N8" s="79" t="s">
        <v>26</v>
      </c>
      <c r="O8" s="80"/>
      <c r="P8" s="80"/>
      <c r="Q8" s="80"/>
      <c r="R8" s="80"/>
    </row>
    <row r="9" spans="2:18" ht="69" customHeight="1" x14ac:dyDescent="0.4">
      <c r="B9" s="51" t="s">
        <v>21</v>
      </c>
      <c r="C9" s="52" t="s">
        <v>46</v>
      </c>
      <c r="D9" s="51" t="s">
        <v>1</v>
      </c>
      <c r="E9" s="51" t="s">
        <v>2</v>
      </c>
      <c r="F9" s="51" t="s">
        <v>4</v>
      </c>
      <c r="G9" s="53" t="s">
        <v>28</v>
      </c>
      <c r="H9" s="54" t="s">
        <v>29</v>
      </c>
      <c r="I9" s="53" t="s">
        <v>7</v>
      </c>
      <c r="J9" s="53" t="s">
        <v>30</v>
      </c>
      <c r="K9" s="53" t="s">
        <v>31</v>
      </c>
      <c r="L9" s="53" t="s">
        <v>8</v>
      </c>
      <c r="M9" s="54" t="s">
        <v>27</v>
      </c>
      <c r="N9" s="54" t="s">
        <v>37</v>
      </c>
      <c r="O9" s="53" t="s">
        <v>12</v>
      </c>
      <c r="P9" s="55" t="s">
        <v>5</v>
      </c>
      <c r="Q9" s="51" t="s">
        <v>35</v>
      </c>
      <c r="R9" s="51" t="s">
        <v>36</v>
      </c>
    </row>
    <row r="10" spans="2:18" ht="24.75" customHeight="1" x14ac:dyDescent="0.4">
      <c r="B10" s="77">
        <v>330949</v>
      </c>
      <c r="C10" s="77">
        <v>63748000949</v>
      </c>
      <c r="D10" s="77" t="s">
        <v>49</v>
      </c>
      <c r="E10" s="77">
        <v>8</v>
      </c>
      <c r="F10" s="77" t="s">
        <v>50</v>
      </c>
      <c r="G10" s="78">
        <v>27.47</v>
      </c>
      <c r="H10" s="20">
        <f>G10/E10</f>
        <v>3.4337499999999999</v>
      </c>
      <c r="I10" s="11"/>
      <c r="J10" s="11"/>
      <c r="K10" s="11">
        <v>4.4800000000000004</v>
      </c>
      <c r="L10" s="11"/>
      <c r="M10" s="20">
        <f>SUM(J10+K10)/E10+L10</f>
        <v>0.56000000000000005</v>
      </c>
      <c r="N10" s="20">
        <f t="shared" ref="N10:N28" si="0">(G10-J10-K10)/E10-L10</f>
        <v>2.8737499999999998</v>
      </c>
      <c r="O10" s="11">
        <v>3.99</v>
      </c>
      <c r="P10" s="21">
        <f t="shared" ref="P10:P16" si="1">(O10-N10)/O10</f>
        <v>0.27976190476190482</v>
      </c>
      <c r="Q10" s="18">
        <v>46020</v>
      </c>
      <c r="R10" s="19">
        <v>46110</v>
      </c>
    </row>
    <row r="11" spans="2:18" ht="24.75" customHeight="1" x14ac:dyDescent="0.4">
      <c r="B11" s="77">
        <v>11365</v>
      </c>
      <c r="C11" s="77">
        <v>63748009032</v>
      </c>
      <c r="D11" s="77" t="s">
        <v>51</v>
      </c>
      <c r="E11" s="77">
        <v>8</v>
      </c>
      <c r="F11" s="77" t="s">
        <v>50</v>
      </c>
      <c r="G11" s="78">
        <v>27.47</v>
      </c>
      <c r="H11" s="20">
        <f t="shared" ref="H11:H28" si="2">G11/E11</f>
        <v>3.4337499999999999</v>
      </c>
      <c r="I11" s="11"/>
      <c r="J11" s="11"/>
      <c r="K11" s="11">
        <v>4.4800000000000004</v>
      </c>
      <c r="L11" s="11"/>
      <c r="M11" s="20">
        <f t="shared" ref="M11:M28" si="3">SUM(J11+K11)/E11+L11</f>
        <v>0.56000000000000005</v>
      </c>
      <c r="N11" s="20">
        <f t="shared" si="0"/>
        <v>2.8737499999999998</v>
      </c>
      <c r="O11" s="11">
        <v>3.99</v>
      </c>
      <c r="P11" s="21">
        <f t="shared" si="1"/>
        <v>0.27976190476190482</v>
      </c>
      <c r="Q11" s="18">
        <v>46020</v>
      </c>
      <c r="R11" s="19">
        <v>46110</v>
      </c>
    </row>
    <row r="12" spans="2:18" ht="24.75" customHeight="1" x14ac:dyDescent="0.4">
      <c r="B12" s="77">
        <v>11370</v>
      </c>
      <c r="C12" s="77">
        <v>63748009040</v>
      </c>
      <c r="D12" s="77" t="s">
        <v>52</v>
      </c>
      <c r="E12" s="77">
        <v>8</v>
      </c>
      <c r="F12" s="77" t="s">
        <v>50</v>
      </c>
      <c r="G12" s="78">
        <v>27.47</v>
      </c>
      <c r="H12" s="20">
        <f t="shared" si="2"/>
        <v>3.4337499999999999</v>
      </c>
      <c r="I12" s="11"/>
      <c r="J12" s="11"/>
      <c r="K12" s="11">
        <v>4.4800000000000004</v>
      </c>
      <c r="L12" s="11"/>
      <c r="M12" s="20">
        <f t="shared" si="3"/>
        <v>0.56000000000000005</v>
      </c>
      <c r="N12" s="20">
        <f t="shared" si="0"/>
        <v>2.8737499999999998</v>
      </c>
      <c r="O12" s="11">
        <v>3.99</v>
      </c>
      <c r="P12" s="21">
        <f t="shared" si="1"/>
        <v>0.27976190476190482</v>
      </c>
      <c r="Q12" s="18">
        <v>46020</v>
      </c>
      <c r="R12" s="19">
        <v>46110</v>
      </c>
    </row>
    <row r="13" spans="2:18" ht="24.75" customHeight="1" x14ac:dyDescent="0.4">
      <c r="B13" s="77">
        <v>11368</v>
      </c>
      <c r="C13" s="77">
        <v>63748009038</v>
      </c>
      <c r="D13" s="77" t="s">
        <v>53</v>
      </c>
      <c r="E13" s="77">
        <v>8</v>
      </c>
      <c r="F13" s="77" t="s">
        <v>50</v>
      </c>
      <c r="G13" s="78">
        <v>27.47</v>
      </c>
      <c r="H13" s="20">
        <f t="shared" si="2"/>
        <v>3.4337499999999999</v>
      </c>
      <c r="I13" s="11"/>
      <c r="J13" s="11"/>
      <c r="K13" s="11">
        <v>4.4800000000000004</v>
      </c>
      <c r="L13" s="11"/>
      <c r="M13" s="20">
        <f t="shared" si="3"/>
        <v>0.56000000000000005</v>
      </c>
      <c r="N13" s="20">
        <f t="shared" si="0"/>
        <v>2.8737499999999998</v>
      </c>
      <c r="O13" s="11">
        <v>3.99</v>
      </c>
      <c r="P13" s="21">
        <f t="shared" si="1"/>
        <v>0.27976190476190482</v>
      </c>
      <c r="Q13" s="18">
        <v>46020</v>
      </c>
      <c r="R13" s="19">
        <v>46110</v>
      </c>
    </row>
    <row r="14" spans="2:18" ht="24.75" customHeight="1" x14ac:dyDescent="0.4">
      <c r="B14" s="77">
        <v>11375</v>
      </c>
      <c r="C14" s="77">
        <v>63748009022</v>
      </c>
      <c r="D14" s="77" t="s">
        <v>54</v>
      </c>
      <c r="E14" s="77">
        <v>8</v>
      </c>
      <c r="F14" s="77" t="s">
        <v>55</v>
      </c>
      <c r="G14" s="78">
        <v>27.47</v>
      </c>
      <c r="H14" s="20">
        <f t="shared" si="2"/>
        <v>3.4337499999999999</v>
      </c>
      <c r="I14" s="11"/>
      <c r="J14" s="11"/>
      <c r="K14" s="11">
        <v>4.4800000000000004</v>
      </c>
      <c r="L14" s="11"/>
      <c r="M14" s="20">
        <f t="shared" si="3"/>
        <v>0.56000000000000005</v>
      </c>
      <c r="N14" s="20">
        <f t="shared" si="0"/>
        <v>2.8737499999999998</v>
      </c>
      <c r="O14" s="11">
        <v>3.99</v>
      </c>
      <c r="P14" s="21">
        <f t="shared" si="1"/>
        <v>0.27976190476190482</v>
      </c>
      <c r="Q14" s="18">
        <v>46020</v>
      </c>
      <c r="R14" s="19">
        <v>46110</v>
      </c>
    </row>
    <row r="15" spans="2:18" ht="24.75" customHeight="1" x14ac:dyDescent="0.4">
      <c r="B15" s="77">
        <v>311034</v>
      </c>
      <c r="C15" s="77">
        <v>63748059034</v>
      </c>
      <c r="D15" s="77" t="s">
        <v>56</v>
      </c>
      <c r="E15" s="77">
        <v>8</v>
      </c>
      <c r="F15" s="77" t="s">
        <v>50</v>
      </c>
      <c r="G15" s="78">
        <v>27.47</v>
      </c>
      <c r="H15" s="20">
        <f t="shared" si="2"/>
        <v>3.4337499999999999</v>
      </c>
      <c r="I15" s="11"/>
      <c r="J15" s="11"/>
      <c r="K15" s="11">
        <v>4.4800000000000004</v>
      </c>
      <c r="L15" s="11"/>
      <c r="M15" s="20">
        <f t="shared" si="3"/>
        <v>0.56000000000000005</v>
      </c>
      <c r="N15" s="20">
        <f t="shared" si="0"/>
        <v>2.8737499999999998</v>
      </c>
      <c r="O15" s="11">
        <v>3.99</v>
      </c>
      <c r="P15" s="21">
        <f t="shared" si="1"/>
        <v>0.27976190476190482</v>
      </c>
      <c r="Q15" s="18">
        <v>46020</v>
      </c>
      <c r="R15" s="19">
        <v>46110</v>
      </c>
    </row>
    <row r="16" spans="2:18" ht="24.75" customHeight="1" x14ac:dyDescent="0.4">
      <c r="B16" s="77">
        <v>217028</v>
      </c>
      <c r="C16" s="77">
        <v>63748059028</v>
      </c>
      <c r="D16" s="77" t="s">
        <v>57</v>
      </c>
      <c r="E16" s="77">
        <v>8</v>
      </c>
      <c r="F16" s="77" t="s">
        <v>50</v>
      </c>
      <c r="G16" s="78">
        <v>27.47</v>
      </c>
      <c r="H16" s="20">
        <f t="shared" si="2"/>
        <v>3.4337499999999999</v>
      </c>
      <c r="I16" s="11"/>
      <c r="J16" s="11"/>
      <c r="K16" s="11">
        <v>4.4800000000000004</v>
      </c>
      <c r="L16" s="11"/>
      <c r="M16" s="20">
        <f t="shared" si="3"/>
        <v>0.56000000000000005</v>
      </c>
      <c r="N16" s="20">
        <f t="shared" si="0"/>
        <v>2.8737499999999998</v>
      </c>
      <c r="O16" s="11">
        <v>3.99</v>
      </c>
      <c r="P16" s="21">
        <f t="shared" si="1"/>
        <v>0.27976190476190482</v>
      </c>
      <c r="Q16" s="18">
        <v>46020</v>
      </c>
      <c r="R16" s="19">
        <v>46110</v>
      </c>
    </row>
    <row r="17" spans="2:18" ht="24.75" customHeight="1" x14ac:dyDescent="0.4">
      <c r="B17" s="73"/>
      <c r="C17" s="74"/>
      <c r="D17" s="75"/>
      <c r="E17" s="76"/>
      <c r="F17" s="76"/>
      <c r="G17" s="11"/>
      <c r="H17" s="20" t="e">
        <f t="shared" si="2"/>
        <v>#DIV/0!</v>
      </c>
      <c r="I17" s="11"/>
      <c r="J17" s="11"/>
      <c r="K17" s="11"/>
      <c r="L17" s="11"/>
      <c r="M17" s="20" t="e">
        <f t="shared" si="3"/>
        <v>#DIV/0!</v>
      </c>
      <c r="N17" s="20" t="e">
        <f t="shared" si="0"/>
        <v>#DIV/0!</v>
      </c>
      <c r="O17" s="11"/>
      <c r="P17" s="21" t="e">
        <f t="shared" ref="P17:P28" si="4">(O17-N17)/O17</f>
        <v>#DIV/0!</v>
      </c>
      <c r="Q17" s="18"/>
      <c r="R17" s="19"/>
    </row>
    <row r="18" spans="2:18" ht="24.75" customHeight="1" x14ac:dyDescent="0.4">
      <c r="B18" s="73"/>
      <c r="C18" s="74"/>
      <c r="D18" s="75"/>
      <c r="E18" s="76"/>
      <c r="F18" s="76"/>
      <c r="G18" s="11"/>
      <c r="H18" s="20" t="e">
        <f t="shared" si="2"/>
        <v>#DIV/0!</v>
      </c>
      <c r="I18" s="11"/>
      <c r="J18" s="11"/>
      <c r="K18" s="11"/>
      <c r="L18" s="11"/>
      <c r="M18" s="20" t="e">
        <f t="shared" si="3"/>
        <v>#DIV/0!</v>
      </c>
      <c r="N18" s="20" t="e">
        <f t="shared" si="0"/>
        <v>#DIV/0!</v>
      </c>
      <c r="O18" s="11"/>
      <c r="P18" s="21" t="e">
        <f t="shared" si="4"/>
        <v>#DIV/0!</v>
      </c>
      <c r="Q18" s="18"/>
      <c r="R18" s="19"/>
    </row>
    <row r="19" spans="2:18" ht="24.75" customHeight="1" x14ac:dyDescent="0.4">
      <c r="B19" s="73"/>
      <c r="C19" s="74"/>
      <c r="D19" s="75"/>
      <c r="E19" s="76"/>
      <c r="F19" s="76"/>
      <c r="G19" s="11"/>
      <c r="H19" s="20" t="e">
        <f t="shared" si="2"/>
        <v>#DIV/0!</v>
      </c>
      <c r="I19" s="11"/>
      <c r="J19" s="11"/>
      <c r="K19" s="11"/>
      <c r="L19" s="11"/>
      <c r="M19" s="20" t="e">
        <f t="shared" si="3"/>
        <v>#DIV/0!</v>
      </c>
      <c r="N19" s="20" t="e">
        <f t="shared" si="0"/>
        <v>#DIV/0!</v>
      </c>
      <c r="O19" s="11"/>
      <c r="P19" s="21" t="e">
        <f t="shared" si="4"/>
        <v>#DIV/0!</v>
      </c>
      <c r="Q19" s="18"/>
      <c r="R19" s="19"/>
    </row>
    <row r="20" spans="2:18" ht="24.75" customHeight="1" x14ac:dyDescent="0.4">
      <c r="B20" s="73"/>
      <c r="C20" s="74"/>
      <c r="D20" s="75"/>
      <c r="E20" s="76"/>
      <c r="F20" s="76"/>
      <c r="G20" s="11"/>
      <c r="H20" s="20" t="e">
        <f t="shared" si="2"/>
        <v>#DIV/0!</v>
      </c>
      <c r="I20" s="11"/>
      <c r="J20" s="11"/>
      <c r="K20" s="11"/>
      <c r="L20" s="11"/>
      <c r="M20" s="20" t="e">
        <f t="shared" si="3"/>
        <v>#DIV/0!</v>
      </c>
      <c r="N20" s="20" t="e">
        <f t="shared" si="0"/>
        <v>#DIV/0!</v>
      </c>
      <c r="O20" s="11"/>
      <c r="P20" s="21" t="e">
        <f t="shared" si="4"/>
        <v>#DIV/0!</v>
      </c>
      <c r="Q20" s="18"/>
      <c r="R20" s="19"/>
    </row>
    <row r="21" spans="2:18" ht="24.75" customHeight="1" x14ac:dyDescent="0.4">
      <c r="B21" s="73"/>
      <c r="C21" s="74"/>
      <c r="D21" s="75"/>
      <c r="E21" s="76"/>
      <c r="F21" s="76"/>
      <c r="G21" s="11"/>
      <c r="H21" s="20" t="e">
        <f t="shared" si="2"/>
        <v>#DIV/0!</v>
      </c>
      <c r="I21" s="11"/>
      <c r="J21" s="11"/>
      <c r="K21" s="11"/>
      <c r="L21" s="11"/>
      <c r="M21" s="20" t="e">
        <f t="shared" si="3"/>
        <v>#DIV/0!</v>
      </c>
      <c r="N21" s="20" t="e">
        <f t="shared" si="0"/>
        <v>#DIV/0!</v>
      </c>
      <c r="O21" s="11"/>
      <c r="P21" s="21" t="e">
        <f t="shared" si="4"/>
        <v>#DIV/0!</v>
      </c>
      <c r="Q21" s="18"/>
      <c r="R21" s="19"/>
    </row>
    <row r="22" spans="2:18" ht="24.75" customHeight="1" x14ac:dyDescent="0.4">
      <c r="B22" s="73"/>
      <c r="C22" s="74"/>
      <c r="D22" s="75"/>
      <c r="E22" s="76"/>
      <c r="F22" s="76"/>
      <c r="G22" s="11"/>
      <c r="H22" s="20" t="e">
        <f t="shared" si="2"/>
        <v>#DIV/0!</v>
      </c>
      <c r="I22" s="11"/>
      <c r="J22" s="11"/>
      <c r="K22" s="11"/>
      <c r="L22" s="11"/>
      <c r="M22" s="20" t="e">
        <f t="shared" si="3"/>
        <v>#DIV/0!</v>
      </c>
      <c r="N22" s="20" t="e">
        <f t="shared" si="0"/>
        <v>#DIV/0!</v>
      </c>
      <c r="O22" s="11"/>
      <c r="P22" s="21" t="e">
        <f t="shared" si="4"/>
        <v>#DIV/0!</v>
      </c>
      <c r="Q22" s="18"/>
      <c r="R22" s="19"/>
    </row>
    <row r="23" spans="2:18" ht="24.75" customHeight="1" x14ac:dyDescent="0.4">
      <c r="B23" s="73"/>
      <c r="C23" s="74"/>
      <c r="D23" s="75"/>
      <c r="E23" s="76"/>
      <c r="F23" s="76"/>
      <c r="G23" s="11"/>
      <c r="H23" s="20" t="e">
        <f t="shared" si="2"/>
        <v>#DIV/0!</v>
      </c>
      <c r="I23" s="11"/>
      <c r="J23" s="11"/>
      <c r="K23" s="11"/>
      <c r="L23" s="11"/>
      <c r="M23" s="20" t="e">
        <f t="shared" si="3"/>
        <v>#DIV/0!</v>
      </c>
      <c r="N23" s="20" t="e">
        <f t="shared" si="0"/>
        <v>#DIV/0!</v>
      </c>
      <c r="O23" s="11"/>
      <c r="P23" s="21" t="e">
        <f t="shared" si="4"/>
        <v>#DIV/0!</v>
      </c>
      <c r="Q23" s="18"/>
      <c r="R23" s="19"/>
    </row>
    <row r="24" spans="2:18" ht="24.75" customHeight="1" x14ac:dyDescent="0.4">
      <c r="B24" s="22"/>
      <c r="C24" s="12"/>
      <c r="D24" s="22"/>
      <c r="E24" s="12"/>
      <c r="F24" s="12"/>
      <c r="G24" s="11"/>
      <c r="H24" s="20" t="e">
        <f t="shared" si="2"/>
        <v>#DIV/0!</v>
      </c>
      <c r="I24" s="11"/>
      <c r="J24" s="11"/>
      <c r="K24" s="11"/>
      <c r="L24" s="11"/>
      <c r="M24" s="20" t="e">
        <f t="shared" si="3"/>
        <v>#DIV/0!</v>
      </c>
      <c r="N24" s="20" t="e">
        <f t="shared" si="0"/>
        <v>#DIV/0!</v>
      </c>
      <c r="O24" s="11"/>
      <c r="P24" s="21" t="e">
        <f t="shared" si="4"/>
        <v>#DIV/0!</v>
      </c>
      <c r="Q24" s="18"/>
      <c r="R24" s="19"/>
    </row>
    <row r="25" spans="2:18" ht="24.75" customHeight="1" x14ac:dyDescent="0.4">
      <c r="B25" s="22"/>
      <c r="C25" s="12"/>
      <c r="D25" s="22"/>
      <c r="E25" s="12"/>
      <c r="F25" s="12"/>
      <c r="G25" s="11"/>
      <c r="H25" s="20" t="e">
        <f t="shared" si="2"/>
        <v>#DIV/0!</v>
      </c>
      <c r="I25" s="11"/>
      <c r="J25" s="11"/>
      <c r="K25" s="11"/>
      <c r="L25" s="11"/>
      <c r="M25" s="20" t="e">
        <f t="shared" si="3"/>
        <v>#DIV/0!</v>
      </c>
      <c r="N25" s="20" t="e">
        <f t="shared" si="0"/>
        <v>#DIV/0!</v>
      </c>
      <c r="O25" s="11"/>
      <c r="P25" s="21" t="e">
        <f t="shared" si="4"/>
        <v>#DIV/0!</v>
      </c>
      <c r="Q25" s="18"/>
      <c r="R25" s="19"/>
    </row>
    <row r="26" spans="2:18" ht="24.75" customHeight="1" x14ac:dyDescent="0.4">
      <c r="B26" s="22"/>
      <c r="C26" s="12"/>
      <c r="D26" s="22"/>
      <c r="E26" s="12"/>
      <c r="F26" s="12"/>
      <c r="G26" s="11"/>
      <c r="H26" s="20" t="e">
        <f t="shared" si="2"/>
        <v>#DIV/0!</v>
      </c>
      <c r="I26" s="11"/>
      <c r="J26" s="11"/>
      <c r="K26" s="11"/>
      <c r="L26" s="11"/>
      <c r="M26" s="20" t="e">
        <f t="shared" si="3"/>
        <v>#DIV/0!</v>
      </c>
      <c r="N26" s="20" t="e">
        <f t="shared" si="0"/>
        <v>#DIV/0!</v>
      </c>
      <c r="O26" s="11"/>
      <c r="P26" s="21" t="e">
        <f t="shared" si="4"/>
        <v>#DIV/0!</v>
      </c>
      <c r="Q26" s="18"/>
      <c r="R26" s="19"/>
    </row>
    <row r="27" spans="2:18" ht="24.75" customHeight="1" x14ac:dyDescent="0.4">
      <c r="B27" s="22"/>
      <c r="C27" s="12"/>
      <c r="D27" s="22"/>
      <c r="E27" s="12"/>
      <c r="F27" s="12"/>
      <c r="G27" s="11"/>
      <c r="H27" s="20" t="e">
        <f t="shared" si="2"/>
        <v>#DIV/0!</v>
      </c>
      <c r="I27" s="11"/>
      <c r="J27" s="11"/>
      <c r="K27" s="11"/>
      <c r="L27" s="11"/>
      <c r="M27" s="20" t="e">
        <f t="shared" si="3"/>
        <v>#DIV/0!</v>
      </c>
      <c r="N27" s="20" t="e">
        <f t="shared" si="0"/>
        <v>#DIV/0!</v>
      </c>
      <c r="O27" s="11"/>
      <c r="P27" s="21" t="e">
        <f t="shared" si="4"/>
        <v>#DIV/0!</v>
      </c>
      <c r="Q27" s="18"/>
      <c r="R27" s="19"/>
    </row>
    <row r="28" spans="2:18" ht="24.75" customHeight="1" x14ac:dyDescent="0.4">
      <c r="B28" s="22"/>
      <c r="C28" s="12"/>
      <c r="D28" s="22"/>
      <c r="E28" s="12"/>
      <c r="F28" s="12"/>
      <c r="G28" s="11"/>
      <c r="H28" s="20" t="e">
        <f t="shared" si="2"/>
        <v>#DIV/0!</v>
      </c>
      <c r="I28" s="11"/>
      <c r="J28" s="11"/>
      <c r="K28" s="11"/>
      <c r="L28" s="11"/>
      <c r="M28" s="20" t="e">
        <f t="shared" si="3"/>
        <v>#DIV/0!</v>
      </c>
      <c r="N28" s="20" t="e">
        <f t="shared" si="0"/>
        <v>#DIV/0!</v>
      </c>
      <c r="O28" s="11"/>
      <c r="P28" s="21" t="e">
        <f t="shared" si="4"/>
        <v>#DIV/0!</v>
      </c>
      <c r="Q28" s="18"/>
      <c r="R28" s="19"/>
    </row>
    <row r="29" spans="2:18" ht="24.75" customHeight="1" thickBot="1" x14ac:dyDescent="0.45">
      <c r="B29" s="13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26"/>
      <c r="O29" s="27"/>
      <c r="P29" s="28"/>
      <c r="Q29" s="29"/>
      <c r="R29" s="29"/>
    </row>
    <row r="30" spans="2:18" ht="28" customHeight="1" thickBot="1" x14ac:dyDescent="0.65">
      <c r="B30" s="7" t="s">
        <v>17</v>
      </c>
      <c r="C30" s="32"/>
      <c r="D30" s="15" t="s">
        <v>59</v>
      </c>
      <c r="E30" s="30"/>
      <c r="F30" s="31"/>
      <c r="G30" s="47" t="s">
        <v>24</v>
      </c>
      <c r="H30" s="47"/>
      <c r="I30" s="32"/>
      <c r="J30" s="87">
        <v>46020</v>
      </c>
      <c r="K30" s="88"/>
      <c r="L30" s="89"/>
      <c r="M30" s="41"/>
      <c r="N30" s="39"/>
      <c r="O30" s="42"/>
      <c r="P30" s="43"/>
      <c r="Q30" s="40"/>
      <c r="R30" s="39"/>
    </row>
    <row r="31" spans="2:18" ht="28" customHeight="1" thickBot="1" x14ac:dyDescent="0.65">
      <c r="B31" s="7" t="s">
        <v>16</v>
      </c>
      <c r="C31" s="32"/>
      <c r="D31" s="15" t="s">
        <v>60</v>
      </c>
      <c r="E31" s="30"/>
      <c r="F31" s="31"/>
      <c r="G31" s="47" t="s">
        <v>25</v>
      </c>
      <c r="H31" s="47"/>
      <c r="I31" s="32"/>
      <c r="J31" s="87">
        <v>46110</v>
      </c>
      <c r="K31" s="88"/>
      <c r="L31" s="89"/>
      <c r="M31" s="41"/>
      <c r="N31" s="39"/>
      <c r="O31" s="42"/>
      <c r="P31" s="43"/>
      <c r="Q31" s="40"/>
      <c r="R31" s="39"/>
    </row>
    <row r="32" spans="2:18" ht="28" customHeight="1" thickBot="1" x14ac:dyDescent="0.65">
      <c r="B32" s="7"/>
      <c r="C32" s="32"/>
      <c r="D32" s="15"/>
      <c r="E32" s="30"/>
      <c r="F32" s="31"/>
      <c r="G32" s="47" t="s">
        <v>45</v>
      </c>
      <c r="H32" s="47"/>
      <c r="I32" s="32"/>
      <c r="J32" s="50"/>
      <c r="K32" s="56"/>
      <c r="L32" s="57"/>
      <c r="M32" s="41"/>
      <c r="N32" s="39"/>
      <c r="O32" s="42"/>
      <c r="P32" s="43"/>
      <c r="Q32" s="40"/>
      <c r="R32" s="39"/>
    </row>
    <row r="33" spans="2:19" ht="28" customHeight="1" thickBot="1" x14ac:dyDescent="0.65">
      <c r="B33" s="32"/>
      <c r="C33" s="34" t="s">
        <v>38</v>
      </c>
      <c r="D33" s="67"/>
      <c r="E33" s="32"/>
      <c r="F33" s="32"/>
      <c r="G33" s="36" t="s">
        <v>6</v>
      </c>
      <c r="H33" s="36"/>
      <c r="I33" s="32"/>
      <c r="J33" s="23"/>
      <c r="K33" s="81" t="s">
        <v>58</v>
      </c>
      <c r="L33" s="90"/>
      <c r="M33" s="41"/>
      <c r="N33" s="39"/>
      <c r="O33" s="42"/>
      <c r="P33" s="39"/>
      <c r="Q33" s="40"/>
      <c r="R33" s="39"/>
    </row>
    <row r="34" spans="2:19" ht="28" customHeight="1" thickBot="1" x14ac:dyDescent="0.65">
      <c r="B34" s="32"/>
      <c r="C34" s="34" t="s">
        <v>18</v>
      </c>
      <c r="D34" s="62"/>
      <c r="E34" s="32"/>
      <c r="F34" s="32"/>
      <c r="G34" s="36" t="s">
        <v>33</v>
      </c>
      <c r="H34" s="36"/>
      <c r="I34" s="32"/>
      <c r="J34" s="23"/>
      <c r="K34" s="81"/>
      <c r="L34" s="82"/>
      <c r="M34" s="41"/>
      <c r="N34" s="69"/>
      <c r="O34" s="70"/>
      <c r="P34" s="71" t="s">
        <v>23</v>
      </c>
      <c r="Q34" s="68"/>
      <c r="R34" s="39"/>
    </row>
    <row r="35" spans="2:19" ht="30" customHeight="1" thickBot="1" x14ac:dyDescent="0.65">
      <c r="B35" s="32"/>
      <c r="C35" s="34" t="s">
        <v>22</v>
      </c>
      <c r="D35" s="62"/>
      <c r="E35" s="35"/>
      <c r="F35" s="32"/>
      <c r="G35" s="36" t="s">
        <v>32</v>
      </c>
      <c r="H35" s="36"/>
      <c r="I35" s="32"/>
      <c r="J35" s="23"/>
      <c r="K35" s="81"/>
      <c r="L35" s="82"/>
      <c r="M35" s="41"/>
      <c r="N35" s="39"/>
      <c r="O35" s="40"/>
      <c r="P35" s="39"/>
      <c r="Q35" s="40"/>
      <c r="R35" s="39"/>
    </row>
    <row r="36" spans="2:19" ht="30" customHeight="1" thickBot="1" x14ac:dyDescent="0.65">
      <c r="B36" s="32"/>
      <c r="C36" s="34" t="s">
        <v>39</v>
      </c>
      <c r="D36" s="24" t="s">
        <v>61</v>
      </c>
      <c r="E36" s="35"/>
      <c r="F36" s="32"/>
      <c r="G36" s="36" t="s">
        <v>34</v>
      </c>
      <c r="H36" s="36"/>
      <c r="I36" s="32"/>
      <c r="J36" s="23"/>
      <c r="K36" s="58"/>
      <c r="L36" s="59"/>
      <c r="M36" s="41"/>
      <c r="N36" s="39"/>
      <c r="O36" s="40"/>
      <c r="P36" s="39"/>
      <c r="Q36" s="40"/>
      <c r="R36" s="39"/>
    </row>
    <row r="37" spans="2:19" ht="30" customHeight="1" thickBot="1" x14ac:dyDescent="0.65">
      <c r="B37" s="32"/>
      <c r="C37" s="34" t="s">
        <v>39</v>
      </c>
      <c r="D37" s="24"/>
      <c r="E37" s="35"/>
      <c r="F37" s="32"/>
      <c r="G37" s="36" t="s">
        <v>20</v>
      </c>
      <c r="H37" s="36"/>
      <c r="I37" s="72"/>
      <c r="J37" s="23"/>
      <c r="K37" s="60"/>
      <c r="L37" s="61"/>
      <c r="M37" s="41"/>
      <c r="N37" s="39"/>
      <c r="O37" s="40"/>
      <c r="P37" s="39"/>
      <c r="Q37" s="40"/>
      <c r="R37" s="39"/>
    </row>
    <row r="38" spans="2:19" ht="20.25" customHeight="1" x14ac:dyDescent="0.5">
      <c r="B38" s="33"/>
      <c r="C38" s="45" t="s">
        <v>43</v>
      </c>
      <c r="D38" s="24"/>
      <c r="E38" s="35"/>
      <c r="F38" s="32"/>
      <c r="G38" s="36"/>
      <c r="H38" s="36"/>
      <c r="I38" s="32"/>
      <c r="J38" s="23"/>
      <c r="K38" s="37"/>
      <c r="L38" s="38"/>
      <c r="M38" s="38"/>
      <c r="N38" s="39"/>
      <c r="O38" s="40"/>
      <c r="P38" s="39"/>
      <c r="Q38" s="40"/>
      <c r="R38" s="39"/>
    </row>
    <row r="39" spans="2:19" ht="20.25" customHeight="1" x14ac:dyDescent="0.45">
      <c r="B39" s="16" t="s">
        <v>41</v>
      </c>
      <c r="J39" s="44"/>
      <c r="K39" s="32"/>
      <c r="L39" s="44"/>
      <c r="M39" s="44"/>
      <c r="N39" s="39"/>
      <c r="O39" s="40"/>
      <c r="P39" s="39"/>
      <c r="Q39" s="40"/>
      <c r="R39" s="39"/>
    </row>
    <row r="40" spans="2:19" s="2" customFormat="1" ht="30" customHeight="1" x14ac:dyDescent="0.4">
      <c r="B40" s="16"/>
      <c r="C40" s="1"/>
      <c r="D40" s="1"/>
      <c r="E40" s="1"/>
      <c r="F40" s="1"/>
      <c r="K40" s="1"/>
      <c r="P40" s="5"/>
      <c r="Q40" s="1"/>
      <c r="R40" s="1"/>
      <c r="S40" s="1"/>
    </row>
    <row r="41" spans="2:19" s="2" customFormat="1" ht="30" customHeight="1" x14ac:dyDescent="0.4">
      <c r="B41" s="16"/>
      <c r="C41" s="1"/>
      <c r="D41" s="1"/>
      <c r="E41" s="1"/>
      <c r="F41" s="1"/>
      <c r="K41" s="1"/>
      <c r="P41" s="5"/>
      <c r="Q41" s="1"/>
      <c r="R41" s="1"/>
      <c r="S41" s="1"/>
    </row>
    <row r="42" spans="2:19" ht="30" customHeight="1" x14ac:dyDescent="0.55000000000000004">
      <c r="B42" s="17"/>
      <c r="P42" s="5"/>
    </row>
  </sheetData>
  <sheetProtection formatCells="0" formatColumns="0" formatRows="0" insertColumns="0" insertRows="0" insertHyperlinks="0" deleteColumns="0" deleteRows="0" sort="0" autoFilter="0" pivotTables="0"/>
  <customSheetViews>
    <customSheetView guid="{237C2BD9-22AD-4097-B475-BDCAA9BDDC24}" scale="80" showPageBreaks="1" printArea="1" view="pageBreakPreview" topLeftCell="A4">
      <selection activeCell="I30" sqref="I30:J30"/>
      <pageMargins left="0.25" right="0.25" top="0.75" bottom="0.75" header="0.3" footer="0.3"/>
      <pageSetup scale="64" orientation="landscape" r:id="rId1"/>
    </customSheetView>
  </customSheetViews>
  <mergeCells count="8">
    <mergeCell ref="N8:R8"/>
    <mergeCell ref="K34:L34"/>
    <mergeCell ref="K35:L35"/>
    <mergeCell ref="B3:G3"/>
    <mergeCell ref="C6:D6"/>
    <mergeCell ref="J30:L30"/>
    <mergeCell ref="J31:L31"/>
    <mergeCell ref="K33:L33"/>
  </mergeCells>
  <pageMargins left="0.25" right="0.25" top="0.75" bottom="0.75" header="0.3" footer="0.3"/>
  <pageSetup scale="4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TPR Form</vt:lpstr>
      <vt:lpstr>'TPR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Winslow</dc:creator>
  <cp:lastModifiedBy>Craig Waters</cp:lastModifiedBy>
  <cp:lastPrinted>2022-02-07T18:53:44Z</cp:lastPrinted>
  <dcterms:created xsi:type="dcterms:W3CDTF">2011-10-12T21:16:41Z</dcterms:created>
  <dcterms:modified xsi:type="dcterms:W3CDTF">2025-12-05T17:31:32Z</dcterms:modified>
</cp:coreProperties>
</file>